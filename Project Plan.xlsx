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brahimi\Desktop\"/>
    </mc:Choice>
  </mc:AlternateContent>
  <xr:revisionPtr revIDLastSave="0" documentId="13_ncr:1_{B5D4D906-DA0E-462C-A8AE-3CA25D99DA31}" xr6:coauthVersionLast="47" xr6:coauthVersionMax="47" xr10:uidLastSave="{00000000-0000-0000-0000-000000000000}"/>
  <bookViews>
    <workbookView xWindow="-80" yWindow="-80" windowWidth="19360" windowHeight="10240" activeTab="1" xr2:uid="{74BF75E5-5B11-43B6-81B6-E2CAD63B3BD9}"/>
  </bookViews>
  <sheets>
    <sheet name="Phase-based" sheetId="1" r:id="rId1"/>
    <sheet name="PC-based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1" i="4" l="1"/>
  <c r="Q270" i="4"/>
  <c r="Q261" i="4"/>
  <c r="Q262" i="4"/>
  <c r="Q263" i="4"/>
  <c r="Q264" i="4"/>
  <c r="Q265" i="4"/>
  <c r="Q266" i="4"/>
  <c r="Q267" i="4"/>
  <c r="Q268" i="4"/>
  <c r="Q269" i="4"/>
  <c r="Q260" i="4"/>
  <c r="O270" i="4"/>
  <c r="O261" i="4"/>
  <c r="O262" i="4"/>
  <c r="O263" i="4"/>
  <c r="O264" i="4"/>
  <c r="O265" i="4"/>
  <c r="O266" i="4"/>
  <c r="O267" i="4"/>
  <c r="O268" i="4"/>
  <c r="O269" i="4"/>
  <c r="O260" i="4"/>
  <c r="N270" i="4"/>
  <c r="M270" i="4"/>
  <c r="Q258" i="4"/>
  <c r="Q252" i="4"/>
  <c r="Q253" i="4"/>
  <c r="Q254" i="4"/>
  <c r="Q255" i="4"/>
  <c r="Q256" i="4"/>
  <c r="Q257" i="4"/>
  <c r="Q251" i="4"/>
  <c r="L258" i="4"/>
  <c r="K258" i="4"/>
  <c r="J258" i="4"/>
  <c r="L252" i="4"/>
  <c r="L253" i="4"/>
  <c r="L254" i="4"/>
  <c r="L255" i="4"/>
  <c r="L256" i="4"/>
  <c r="L257" i="4"/>
  <c r="L251" i="4"/>
  <c r="O120" i="4"/>
  <c r="Q120" i="4" s="1"/>
  <c r="O121" i="4"/>
  <c r="Q121" i="4" s="1"/>
  <c r="O122" i="4"/>
  <c r="Q122" i="4" s="1"/>
  <c r="O123" i="4"/>
  <c r="Q123" i="4" s="1"/>
  <c r="O119" i="4"/>
  <c r="M124" i="4"/>
  <c r="J124" i="4"/>
  <c r="O101" i="4"/>
  <c r="Q101" i="4" s="1"/>
  <c r="O102" i="4"/>
  <c r="Q102" i="4" s="1"/>
  <c r="O103" i="4"/>
  <c r="Q103" i="4" s="1"/>
  <c r="O104" i="4"/>
  <c r="Q104" i="4" s="1"/>
  <c r="O105" i="4"/>
  <c r="Q105" i="4" s="1"/>
  <c r="O106" i="4"/>
  <c r="Q106" i="4" s="1"/>
  <c r="O100" i="4"/>
  <c r="M107" i="4"/>
  <c r="K107" i="4"/>
  <c r="M280" i="4"/>
  <c r="O274" i="4"/>
  <c r="Q274" i="4" s="1"/>
  <c r="O275" i="4"/>
  <c r="Q275" i="4" s="1"/>
  <c r="O276" i="4"/>
  <c r="Q276" i="4" s="1"/>
  <c r="O277" i="4"/>
  <c r="Q277" i="4" s="1"/>
  <c r="O278" i="4"/>
  <c r="Q278" i="4" s="1"/>
  <c r="O279" i="4"/>
  <c r="Q279" i="4" s="1"/>
  <c r="O273" i="4"/>
  <c r="Q273" i="4" s="1"/>
  <c r="O272" i="4"/>
  <c r="M195" i="4"/>
  <c r="O188" i="4"/>
  <c r="Q188" i="4" s="1"/>
  <c r="O189" i="4"/>
  <c r="Q189" i="4" s="1"/>
  <c r="O190" i="4"/>
  <c r="Q190" i="4" s="1"/>
  <c r="O191" i="4"/>
  <c r="Q191" i="4" s="1"/>
  <c r="O192" i="4"/>
  <c r="Q192" i="4" s="1"/>
  <c r="O193" i="4"/>
  <c r="Q193" i="4" s="1"/>
  <c r="O194" i="4"/>
  <c r="Q194" i="4" s="1"/>
  <c r="O187" i="4"/>
  <c r="M117" i="4"/>
  <c r="O110" i="4"/>
  <c r="Q110" i="4" s="1"/>
  <c r="O111" i="4"/>
  <c r="Q111" i="4" s="1"/>
  <c r="O112" i="4"/>
  <c r="Q112" i="4" s="1"/>
  <c r="O113" i="4"/>
  <c r="Q113" i="4" s="1"/>
  <c r="O114" i="4"/>
  <c r="Q114" i="4" s="1"/>
  <c r="O115" i="4"/>
  <c r="Q115" i="4" s="1"/>
  <c r="O116" i="4"/>
  <c r="Q116" i="4" s="1"/>
  <c r="O109" i="4"/>
  <c r="O44" i="4"/>
  <c r="Q44" i="4" s="1"/>
  <c r="O45" i="4"/>
  <c r="Q45" i="4" s="1"/>
  <c r="O46" i="4"/>
  <c r="Q46" i="4" s="1"/>
  <c r="O47" i="4"/>
  <c r="Q47" i="4" s="1"/>
  <c r="O43" i="4"/>
  <c r="M48" i="4"/>
  <c r="I167" i="4"/>
  <c r="G167" i="4"/>
  <c r="E167" i="4"/>
  <c r="I249" i="4"/>
  <c r="G249" i="4"/>
  <c r="E249" i="4"/>
  <c r="I331" i="4"/>
  <c r="G331" i="4"/>
  <c r="E331" i="4"/>
  <c r="I412" i="4"/>
  <c r="G412" i="4"/>
  <c r="E412" i="4"/>
  <c r="I493" i="4"/>
  <c r="G493" i="4"/>
  <c r="E493" i="4"/>
  <c r="L98" i="4"/>
  <c r="K98" i="4"/>
  <c r="M94" i="4"/>
  <c r="Q94" i="4" s="1"/>
  <c r="M95" i="4"/>
  <c r="Q95" i="4" s="1"/>
  <c r="M96" i="4"/>
  <c r="Q96" i="4" s="1"/>
  <c r="M97" i="4"/>
  <c r="Q97" i="4" s="1"/>
  <c r="M93" i="4"/>
  <c r="O127" i="4"/>
  <c r="O128" i="4"/>
  <c r="O129" i="4"/>
  <c r="O126" i="4"/>
  <c r="O208" i="4"/>
  <c r="O209" i="4"/>
  <c r="O210" i="4"/>
  <c r="O207" i="4"/>
  <c r="O211" i="4" s="1"/>
  <c r="O292" i="4"/>
  <c r="O290" i="4"/>
  <c r="O291" i="4"/>
  <c r="O293" i="4"/>
  <c r="M294" i="4"/>
  <c r="I294" i="4"/>
  <c r="O372" i="4"/>
  <c r="O373" i="4"/>
  <c r="O374" i="4"/>
  <c r="O371" i="4"/>
  <c r="O375" i="4" s="1"/>
  <c r="M375" i="4"/>
  <c r="I375" i="4"/>
  <c r="O453" i="4"/>
  <c r="O454" i="4"/>
  <c r="O455" i="4"/>
  <c r="O452" i="4"/>
  <c r="O456" i="4" s="1"/>
  <c r="M456" i="4"/>
  <c r="I456" i="4"/>
  <c r="O526" i="4"/>
  <c r="O527" i="4"/>
  <c r="O528" i="4"/>
  <c r="O525" i="4"/>
  <c r="M529" i="4"/>
  <c r="I529" i="4"/>
  <c r="O51" i="4"/>
  <c r="O52" i="4"/>
  <c r="O53" i="4"/>
  <c r="O50" i="4"/>
  <c r="O35" i="4"/>
  <c r="Q35" i="4" s="1"/>
  <c r="O36" i="4"/>
  <c r="Q36" i="4" s="1"/>
  <c r="O37" i="4"/>
  <c r="Q37" i="4" s="1"/>
  <c r="O38" i="4"/>
  <c r="Q38" i="4" s="1"/>
  <c r="O39" i="4"/>
  <c r="Q39" i="4" s="1"/>
  <c r="O40" i="4"/>
  <c r="Q40" i="4" s="1"/>
  <c r="O34" i="4"/>
  <c r="Q34" i="4" s="1"/>
  <c r="M211" i="4"/>
  <c r="I211" i="4"/>
  <c r="I130" i="4"/>
  <c r="O29" i="4"/>
  <c r="Q29" i="4" s="1"/>
  <c r="O30" i="4"/>
  <c r="Q30" i="4" s="1"/>
  <c r="O31" i="4"/>
  <c r="Q31" i="4" s="1"/>
  <c r="O28" i="4"/>
  <c r="I48" i="4"/>
  <c r="I41" i="4"/>
  <c r="M32" i="4"/>
  <c r="K32" i="4"/>
  <c r="M130" i="4"/>
  <c r="I91" i="4"/>
  <c r="G91" i="4"/>
  <c r="E91" i="4"/>
  <c r="J26" i="4"/>
  <c r="I26" i="4"/>
  <c r="E18" i="4"/>
  <c r="G18" i="4"/>
  <c r="I18" i="4"/>
  <c r="M54" i="4"/>
  <c r="I54" i="4"/>
  <c r="K21" i="4"/>
  <c r="Q21" i="4" s="1"/>
  <c r="K22" i="4"/>
  <c r="Q22" i="4" s="1"/>
  <c r="K23" i="4"/>
  <c r="Q23" i="4" s="1"/>
  <c r="K24" i="4"/>
  <c r="Q24" i="4" s="1"/>
  <c r="K25" i="4"/>
  <c r="Q25" i="4" s="1"/>
  <c r="K20" i="4"/>
  <c r="Q20" i="4" s="1"/>
  <c r="K161" i="4"/>
  <c r="O161" i="4" s="1"/>
  <c r="Q161" i="4" s="1"/>
  <c r="K162" i="4"/>
  <c r="O162" i="4" s="1"/>
  <c r="Q162" i="4" s="1"/>
  <c r="K163" i="4"/>
  <c r="O163" i="4" s="1"/>
  <c r="Q163" i="4" s="1"/>
  <c r="K164" i="4"/>
  <c r="O164" i="4" s="1"/>
  <c r="Q164" i="4" s="1"/>
  <c r="K165" i="4"/>
  <c r="O165" i="4" s="1"/>
  <c r="Q165" i="4" s="1"/>
  <c r="K166" i="4"/>
  <c r="O166" i="4" s="1"/>
  <c r="Q166" i="4" s="1"/>
  <c r="K160" i="4"/>
  <c r="K242" i="4"/>
  <c r="O242" i="4" s="1"/>
  <c r="Q242" i="4" s="1"/>
  <c r="K243" i="4"/>
  <c r="O243" i="4" s="1"/>
  <c r="Q243" i="4" s="1"/>
  <c r="K244" i="4"/>
  <c r="O244" i="4" s="1"/>
  <c r="Q244" i="4" s="1"/>
  <c r="K245" i="4"/>
  <c r="O245" i="4" s="1"/>
  <c r="Q245" i="4" s="1"/>
  <c r="K246" i="4"/>
  <c r="O246" i="4" s="1"/>
  <c r="Q246" i="4" s="1"/>
  <c r="K247" i="4"/>
  <c r="O247" i="4" s="1"/>
  <c r="Q247" i="4" s="1"/>
  <c r="K248" i="4"/>
  <c r="O248" i="4" s="1"/>
  <c r="Q248" i="4" s="1"/>
  <c r="K241" i="4"/>
  <c r="K325" i="4"/>
  <c r="O325" i="4" s="1"/>
  <c r="Q325" i="4" s="1"/>
  <c r="K326" i="4"/>
  <c r="O326" i="4" s="1"/>
  <c r="Q326" i="4" s="1"/>
  <c r="K327" i="4"/>
  <c r="O327" i="4" s="1"/>
  <c r="Q327" i="4" s="1"/>
  <c r="K328" i="4"/>
  <c r="O328" i="4" s="1"/>
  <c r="Q328" i="4" s="1"/>
  <c r="K329" i="4"/>
  <c r="O329" i="4" s="1"/>
  <c r="Q329" i="4" s="1"/>
  <c r="K330" i="4"/>
  <c r="O330" i="4" s="1"/>
  <c r="Q330" i="4" s="1"/>
  <c r="K324" i="4"/>
  <c r="K406" i="4"/>
  <c r="O406" i="4" s="1"/>
  <c r="Q406" i="4" s="1"/>
  <c r="K407" i="4"/>
  <c r="O407" i="4" s="1"/>
  <c r="Q407" i="4" s="1"/>
  <c r="K408" i="4"/>
  <c r="O408" i="4" s="1"/>
  <c r="Q408" i="4" s="1"/>
  <c r="K409" i="4"/>
  <c r="O409" i="4" s="1"/>
  <c r="Q409" i="4" s="1"/>
  <c r="K410" i="4"/>
  <c r="O410" i="4" s="1"/>
  <c r="Q410" i="4" s="1"/>
  <c r="K411" i="4"/>
  <c r="O411" i="4" s="1"/>
  <c r="Q411" i="4" s="1"/>
  <c r="K405" i="4"/>
  <c r="K487" i="4"/>
  <c r="O487" i="4" s="1"/>
  <c r="Q487" i="4" s="1"/>
  <c r="K488" i="4"/>
  <c r="O488" i="4" s="1"/>
  <c r="Q488" i="4" s="1"/>
  <c r="K489" i="4"/>
  <c r="O489" i="4" s="1"/>
  <c r="Q489" i="4" s="1"/>
  <c r="K490" i="4"/>
  <c r="O490" i="4" s="1"/>
  <c r="Q490" i="4" s="1"/>
  <c r="K491" i="4"/>
  <c r="O491" i="4" s="1"/>
  <c r="Q491" i="4" s="1"/>
  <c r="K492" i="4"/>
  <c r="O492" i="4" s="1"/>
  <c r="Q492" i="4" s="1"/>
  <c r="K486" i="4"/>
  <c r="K85" i="4"/>
  <c r="O85" i="4" s="1"/>
  <c r="Q85" i="4" s="1"/>
  <c r="K86" i="4"/>
  <c r="O86" i="4" s="1"/>
  <c r="Q86" i="4" s="1"/>
  <c r="K87" i="4"/>
  <c r="K88" i="4"/>
  <c r="O88" i="4" s="1"/>
  <c r="Q88" i="4" s="1"/>
  <c r="K89" i="4"/>
  <c r="O89" i="4" s="1"/>
  <c r="Q89" i="4" s="1"/>
  <c r="K90" i="4"/>
  <c r="O90" i="4" s="1"/>
  <c r="Q90" i="4" s="1"/>
  <c r="O87" i="4"/>
  <c r="Q87" i="4" s="1"/>
  <c r="K84" i="4"/>
  <c r="O84" i="4" s="1"/>
  <c r="Q84" i="4" s="1"/>
  <c r="Q91" i="4" s="1"/>
  <c r="K12" i="4"/>
  <c r="K13" i="4"/>
  <c r="O13" i="4" s="1"/>
  <c r="Q13" i="4" s="1"/>
  <c r="K14" i="4"/>
  <c r="O14" i="4" s="1"/>
  <c r="Q14" i="4" s="1"/>
  <c r="K15" i="4"/>
  <c r="O15" i="4" s="1"/>
  <c r="Q15" i="4" s="1"/>
  <c r="K16" i="4"/>
  <c r="O16" i="4" s="1"/>
  <c r="Q16" i="4" s="1"/>
  <c r="K17" i="4"/>
  <c r="O17" i="4" s="1"/>
  <c r="Q17" i="4" s="1"/>
  <c r="Q119" i="4" l="1"/>
  <c r="Q124" i="4" s="1"/>
  <c r="O124" i="4"/>
  <c r="O107" i="4"/>
  <c r="Q100" i="4"/>
  <c r="Q107" i="4" s="1"/>
  <c r="M98" i="4"/>
  <c r="Q93" i="4"/>
  <c r="Q98" i="4" s="1"/>
  <c r="O280" i="4"/>
  <c r="Q272" i="4"/>
  <c r="Q280" i="4" s="1"/>
  <c r="O195" i="4"/>
  <c r="Q187" i="4"/>
  <c r="Q195" i="4" s="1"/>
  <c r="O117" i="4"/>
  <c r="Q109" i="4"/>
  <c r="Q117" i="4" s="1"/>
  <c r="O529" i="4"/>
  <c r="Q43" i="4"/>
  <c r="Q48" i="4" s="1"/>
  <c r="O48" i="4"/>
  <c r="O160" i="4"/>
  <c r="K167" i="4"/>
  <c r="O241" i="4"/>
  <c r="K249" i="4"/>
  <c r="O324" i="4"/>
  <c r="K331" i="4"/>
  <c r="O405" i="4"/>
  <c r="K412" i="4"/>
  <c r="O486" i="4"/>
  <c r="K493" i="4"/>
  <c r="Q41" i="4"/>
  <c r="O41" i="4"/>
  <c r="O130" i="4"/>
  <c r="O294" i="4"/>
  <c r="Q26" i="4"/>
  <c r="Q28" i="4"/>
  <c r="Q32" i="4" s="1"/>
  <c r="O32" i="4"/>
  <c r="O54" i="4"/>
  <c r="K26" i="4"/>
  <c r="O91" i="4"/>
  <c r="K91" i="4"/>
  <c r="O12" i="4"/>
  <c r="Q12" i="4" s="1"/>
  <c r="Q18" i="4" s="1"/>
  <c r="K18" i="4"/>
  <c r="Q160" i="4" l="1"/>
  <c r="Q167" i="4" s="1"/>
  <c r="O167" i="4"/>
  <c r="O249" i="4"/>
  <c r="Q241" i="4"/>
  <c r="Q249" i="4" s="1"/>
  <c r="O331" i="4"/>
  <c r="Q324" i="4"/>
  <c r="Q331" i="4" s="1"/>
  <c r="O412" i="4"/>
  <c r="Q405" i="4"/>
  <c r="Q412" i="4" s="1"/>
  <c r="O493" i="4"/>
  <c r="Q486" i="4"/>
  <c r="Q493" i="4" s="1"/>
  <c r="O18" i="4"/>
</calcChain>
</file>

<file path=xl/sharedStrings.xml><?xml version="1.0" encoding="utf-8"?>
<sst xmlns="http://schemas.openxmlformats.org/spreadsheetml/2006/main" count="1138" uniqueCount="416">
  <si>
    <t>Research &amp; Requirment Analysis Phase</t>
  </si>
  <si>
    <t>Travel</t>
  </si>
  <si>
    <t>Subtotal</t>
  </si>
  <si>
    <t>Prototype Development Phase</t>
  </si>
  <si>
    <t>Item</t>
  </si>
  <si>
    <t>Stipends</t>
  </si>
  <si>
    <t>Description</t>
  </si>
  <si>
    <t>Estimated Cost($)</t>
  </si>
  <si>
    <t>Category</t>
  </si>
  <si>
    <t>Equipment</t>
  </si>
  <si>
    <t>Human Resources</t>
  </si>
  <si>
    <t>Voice-Controlled Virtual Assistant for PwDs Project Plan Breakdown</t>
  </si>
  <si>
    <t>Project Managers: Sarwar Ebrahimi &amp; Shafiullah Haidari | Project Duration : 1 Year | Project Budget($): 1 million</t>
  </si>
  <si>
    <t>Goal: Understand users, define the system, and gather requirements.</t>
  </si>
  <si>
    <t>Total Budget : $50,000</t>
  </si>
  <si>
    <t>Staff / Team</t>
  </si>
  <si>
    <t>Duration</t>
  </si>
  <si>
    <t>Dependencies</t>
  </si>
  <si>
    <t>Milestone</t>
  </si>
  <si>
    <t>Internet &amp; research tools</t>
  </si>
  <si>
    <t>Online research tools &amp; software for gathering info</t>
  </si>
  <si>
    <t>Operations</t>
  </si>
  <si>
    <t>2 Researchers</t>
  </si>
  <si>
    <t>1 month</t>
  </si>
  <si>
    <t>None</t>
  </si>
  <si>
    <t>Initial Research complete</t>
  </si>
  <si>
    <t>Surveys &amp; interviews</t>
  </si>
  <si>
    <t>Conduct surveys/interviews with target users</t>
  </si>
  <si>
    <t>1 Project Manager, 2 researchers</t>
  </si>
  <si>
    <t>Complete User Feedback</t>
  </si>
  <si>
    <t>Travel for face-to-face interviews</t>
  </si>
  <si>
    <t>1 Project Manager</t>
  </si>
  <si>
    <t>Surveys &amp; interviews comlete</t>
  </si>
  <si>
    <t>Travel completed</t>
  </si>
  <si>
    <t>Data Collection Tools</t>
  </si>
  <si>
    <t>Purchase tools for survey analysis</t>
  </si>
  <si>
    <t>Tools Acquired</t>
  </si>
  <si>
    <t>Compensation for research participants</t>
  </si>
  <si>
    <t>2 months</t>
  </si>
  <si>
    <t>Data Collection Complete</t>
  </si>
  <si>
    <t>Miscellaneous costs</t>
  </si>
  <si>
    <t>Unexpected costs(materials, additional tools)</t>
  </si>
  <si>
    <t>Contingency</t>
  </si>
  <si>
    <t>Data Collection Tools Acquired</t>
  </si>
  <si>
    <t>Final Report Complied</t>
  </si>
  <si>
    <t>System Design &amp; Planning Phase</t>
  </si>
  <si>
    <t>Goal: Develop the system architecture and design</t>
  </si>
  <si>
    <t>Total Budget : $100,000</t>
  </si>
  <si>
    <t>Design Tools</t>
  </si>
  <si>
    <t>Figma, Adobe XD for UI/UX Design</t>
  </si>
  <si>
    <t>1 UI/UX Designer</t>
  </si>
  <si>
    <t>1.5 month</t>
  </si>
  <si>
    <t>Design Tool Setup</t>
  </si>
  <si>
    <t>Prototyping Tools</t>
  </si>
  <si>
    <t>Lucidchart, Sketch for wireframes and prototype</t>
  </si>
  <si>
    <t>Software</t>
  </si>
  <si>
    <t>Team Meetings</t>
  </si>
  <si>
    <t>Architect Consultation</t>
  </si>
  <si>
    <t>Design Stipends</t>
  </si>
  <si>
    <t>Regular meetings for planning system architecture</t>
  </si>
  <si>
    <t>External architect to assist with system design</t>
  </si>
  <si>
    <t>Payment for external designers(constructors)</t>
  </si>
  <si>
    <t>Unexpected costs related to tools for planning</t>
  </si>
  <si>
    <t>1.5 months</t>
  </si>
  <si>
    <t>Architect Consultation complete</t>
  </si>
  <si>
    <t>Prototypes Created</t>
  </si>
  <si>
    <t>Architecture Defined</t>
  </si>
  <si>
    <t>Architectural Design Finalized</t>
  </si>
  <si>
    <t>design Finalized</t>
  </si>
  <si>
    <t>Final Design Approval</t>
  </si>
  <si>
    <t>Goal: Create a working prototype of the system</t>
  </si>
  <si>
    <t>Total Budget : $150,000</t>
  </si>
  <si>
    <t>Hardware Purchase</t>
  </si>
  <si>
    <t>Software/API Costs</t>
  </si>
  <si>
    <t>AI/ML Engineer Salary</t>
  </si>
  <si>
    <t>Raspberry Pi, microphones, sensors, etc.</t>
  </si>
  <si>
    <t>Google Speech-to-Text, Dialogflow APIs</t>
  </si>
  <si>
    <t>Full-Stack developer costs</t>
  </si>
  <si>
    <t>Salary for AI/ML Engineer working on speech features</t>
  </si>
  <si>
    <t>2 Developers</t>
  </si>
  <si>
    <t>3 Developers</t>
  </si>
  <si>
    <t>1 AI/ML Engineer</t>
  </si>
  <si>
    <t>2.5 month</t>
  </si>
  <si>
    <t>Design Finalized</t>
  </si>
  <si>
    <t>Hardware Set Up</t>
  </si>
  <si>
    <t>API Integration Complete</t>
  </si>
  <si>
    <t>Prototype Developed</t>
  </si>
  <si>
    <t>Speech Recognition Working</t>
  </si>
  <si>
    <t>Full Development Phase</t>
  </si>
  <si>
    <t>Goal: Full system development with integration of all components</t>
  </si>
  <si>
    <t>Duration : 4 months</t>
  </si>
  <si>
    <t>Duration : 2.5 months</t>
  </si>
  <si>
    <t>Duration : 1.5 months</t>
  </si>
  <si>
    <t>Duration : 2 months</t>
  </si>
  <si>
    <t>Total Budget : $400,000</t>
  </si>
  <si>
    <t>Backend Development</t>
  </si>
  <si>
    <t>Frontend Development</t>
  </si>
  <si>
    <t>AI/ML Engine</t>
  </si>
  <si>
    <t>Cloud Services(AWS)</t>
  </si>
  <si>
    <t>Software Licenses</t>
  </si>
  <si>
    <t>Development of server-side features, API intergration</t>
  </si>
  <si>
    <t>Development of the UI/UX interface</t>
  </si>
  <si>
    <t>Development of AI and Machine Learning algorithms</t>
  </si>
  <si>
    <t>Licensing for tools like TensorFlow, Docker, etc.</t>
  </si>
  <si>
    <t>2 AI Engineers</t>
  </si>
  <si>
    <t>4 months</t>
  </si>
  <si>
    <t>Prototype Dev complete</t>
  </si>
  <si>
    <t>Backend Dev Complete</t>
  </si>
  <si>
    <t>Backend Completed</t>
  </si>
  <si>
    <t>UI/UX Completed</t>
  </si>
  <si>
    <t>AI System Finalized</t>
  </si>
  <si>
    <t>System Hosted</t>
  </si>
  <si>
    <t>Software Tools Available</t>
  </si>
  <si>
    <t>Developer Salaries</t>
  </si>
  <si>
    <t>Hosting on cloud platforms(AWS, Azure)</t>
  </si>
  <si>
    <t>Testing &amp; Validation Phase</t>
  </si>
  <si>
    <t>Goal: Ensure usability, accessibility, and fix bugs.</t>
  </si>
  <si>
    <t>User Testing</t>
  </si>
  <si>
    <t>Accessibility Testing</t>
  </si>
  <si>
    <t>Bug Fixing</t>
  </si>
  <si>
    <t>Field testing with disabled users</t>
  </si>
  <si>
    <t>Specialized tools to assess accessibility</t>
  </si>
  <si>
    <t>Fix bugs</t>
  </si>
  <si>
    <t>2 Testers</t>
  </si>
  <si>
    <t>1 QA Engineer</t>
  </si>
  <si>
    <t>Deployment &amp; Launch Phase</t>
  </si>
  <si>
    <t>Goal: Finalize deployment and launch the product to users.</t>
  </si>
  <si>
    <t>Duration : 1 month</t>
  </si>
  <si>
    <t>Final Hosting Setup</t>
  </si>
  <si>
    <t>App Deployment(Play Store, etc.)</t>
  </si>
  <si>
    <t>Documentaion</t>
  </si>
  <si>
    <t>Domain &amp; Hosting Costs</t>
  </si>
  <si>
    <t>Marketing</t>
  </si>
  <si>
    <t>Set up production environment(servers, databases)</t>
  </si>
  <si>
    <t>Deploy to Play Store, App Store</t>
  </si>
  <si>
    <t>Write system and user documentation</t>
  </si>
  <si>
    <t>Purchase domain and final hosting services</t>
  </si>
  <si>
    <t>Marketing compaign for product launch</t>
  </si>
  <si>
    <t>1 DevOps Engineer</t>
  </si>
  <si>
    <t>1 Developer</t>
  </si>
  <si>
    <t>Maintenance &amp; Support Phase</t>
  </si>
  <si>
    <t>Goal: Ensure system uptime, monitor for issues, and provide continous updates.</t>
  </si>
  <si>
    <t>Duration : Ongoing(1 month within the year)</t>
  </si>
  <si>
    <t>Monthly Cloud Costs</t>
  </si>
  <si>
    <t>Support Engineer Salaries</t>
  </si>
  <si>
    <t>Ongoing hosting and cloud service expenses</t>
  </si>
  <si>
    <t>Support for bug fixes and updates</t>
  </si>
  <si>
    <t>Staff for technical support</t>
  </si>
  <si>
    <t>Unexpected maintenace costs</t>
  </si>
  <si>
    <t>2 Support Engineers</t>
  </si>
  <si>
    <t>Staff : 2 Researchers, 1 Project Manager</t>
  </si>
  <si>
    <t>Staff : 1 UI/UX Designer, 2 Architects, 1 Project Manager</t>
  </si>
  <si>
    <t>3 Developers, 1 AI/ML Engineer, 1 Project Manager</t>
  </si>
  <si>
    <t xml:space="preserve"> Staff : 5 Developers, 2 AI Engineers, 1 UI/UX Designer, 1 Project Manager</t>
  </si>
  <si>
    <t>2 Testers, 1 AQ Engineer, 1 Project Manager</t>
  </si>
  <si>
    <t>3 Developers, 1 DevOps Engineer, 1 Project Manager</t>
  </si>
  <si>
    <t>Staff : 2 Support Engineers, 1 Developer, 1 Project Manager</t>
  </si>
  <si>
    <t>Role</t>
  </si>
  <si>
    <t>Total</t>
  </si>
  <si>
    <t>Extra_Hour</t>
  </si>
  <si>
    <t>Extra_Salary</t>
  </si>
  <si>
    <t>Percentage</t>
  </si>
  <si>
    <t>Salary(month)</t>
  </si>
  <si>
    <t>Duration(month)</t>
  </si>
  <si>
    <t>Percenatage</t>
  </si>
  <si>
    <t>Project Manager</t>
  </si>
  <si>
    <t>Researcher</t>
  </si>
  <si>
    <t>Driver</t>
  </si>
  <si>
    <t>Cook</t>
  </si>
  <si>
    <t>Cleaner</t>
  </si>
  <si>
    <t>Name</t>
  </si>
  <si>
    <t>Quantity</t>
  </si>
  <si>
    <t>Status</t>
  </si>
  <si>
    <t>Unit Cost</t>
  </si>
  <si>
    <t>Total Cost</t>
  </si>
  <si>
    <t>Priority</t>
  </si>
  <si>
    <t>Software &amp; Licenses</t>
  </si>
  <si>
    <t>Purpose</t>
  </si>
  <si>
    <t>License Type</t>
  </si>
  <si>
    <t>Office &amp; Operations</t>
  </si>
  <si>
    <t>Qunatity</t>
  </si>
  <si>
    <t>Office Rent</t>
  </si>
  <si>
    <t>Electricity</t>
  </si>
  <si>
    <t>Internet</t>
  </si>
  <si>
    <t>Water</t>
  </si>
  <si>
    <t>Office Furniture</t>
  </si>
  <si>
    <t>cleaning Services</t>
  </si>
  <si>
    <t>Security Services</t>
  </si>
  <si>
    <t>Quard</t>
  </si>
  <si>
    <t>Stationary</t>
  </si>
  <si>
    <t>Equipments</t>
  </si>
  <si>
    <t>No_Staff</t>
  </si>
  <si>
    <t>Travel &amp; Living Expenses</t>
  </si>
  <si>
    <t>Travel Details</t>
  </si>
  <si>
    <t>Cost</t>
  </si>
  <si>
    <t>Risk Category</t>
  </si>
  <si>
    <t>Technical</t>
  </si>
  <si>
    <t>Finincial</t>
  </si>
  <si>
    <t>Operational</t>
  </si>
  <si>
    <t>Legal</t>
  </si>
  <si>
    <t>Salary</t>
  </si>
  <si>
    <t>Guard</t>
  </si>
  <si>
    <t>UI/UX Designer</t>
  </si>
  <si>
    <t>Software Architect</t>
  </si>
  <si>
    <t>Full-Stack Developer</t>
  </si>
  <si>
    <t>AI/ML Engineer</t>
  </si>
  <si>
    <t>Tester</t>
  </si>
  <si>
    <t>QA Engineer</t>
  </si>
  <si>
    <t>DevOps Engineer</t>
  </si>
  <si>
    <t>Support Engineer</t>
  </si>
  <si>
    <t>Laptop(Core i5, 16GB RAM)</t>
  </si>
  <si>
    <t>For research,documentation, and analysis</t>
  </si>
  <si>
    <t>Office-base research and storage</t>
  </si>
  <si>
    <t>External Hard Drive</t>
  </si>
  <si>
    <t>Backup of research data and recordings</t>
  </si>
  <si>
    <t>Wi-Fi Router</t>
  </si>
  <si>
    <t>Internect connectivity for team</t>
  </si>
  <si>
    <t>LAN Cables</t>
  </si>
  <si>
    <t>Network Setup</t>
  </si>
  <si>
    <t>Tablets(survey)</t>
  </si>
  <si>
    <t>Audio recorders</t>
  </si>
  <si>
    <t>Survey Tools</t>
  </si>
  <si>
    <t>Google Forms Pro for data collection, etc</t>
  </si>
  <si>
    <t>The room rent for office</t>
  </si>
  <si>
    <t>The taxes of electricity of the office</t>
  </si>
  <si>
    <t>Accommodation</t>
  </si>
  <si>
    <t>Figma / Adobe XD</t>
  </si>
  <si>
    <t>Architecture tools</t>
  </si>
  <si>
    <t>Cloud sandbox</t>
  </si>
  <si>
    <t>Dev machines</t>
  </si>
  <si>
    <t>Testing phones/devices</t>
  </si>
  <si>
    <t>Servers</t>
  </si>
  <si>
    <t>APIs</t>
  </si>
  <si>
    <t>speech recognition</t>
  </si>
  <si>
    <t>Dev tools</t>
  </si>
  <si>
    <t>cluoud usage</t>
  </si>
  <si>
    <t>Planned</t>
  </si>
  <si>
    <t>High</t>
  </si>
  <si>
    <t>Medium</t>
  </si>
  <si>
    <t>For voice data collection</t>
  </si>
  <si>
    <t>MS Office / Google Workspace</t>
  </si>
  <si>
    <t>Necessary for documentation</t>
  </si>
  <si>
    <t>Data Analysis Tools</t>
  </si>
  <si>
    <t>Necessary for research</t>
  </si>
  <si>
    <t>The internect taxes within a month</t>
  </si>
  <si>
    <t>The taxes of used water in a month</t>
  </si>
  <si>
    <t>The necessary furniture for office setup</t>
  </si>
  <si>
    <t>The cleaning services, garbage collection</t>
  </si>
  <si>
    <t>Pen, paper, printer, etc</t>
  </si>
  <si>
    <t>Paid</t>
  </si>
  <si>
    <t>Financial</t>
  </si>
  <si>
    <t>Total Budget : $64,000 (5%)</t>
  </si>
  <si>
    <t>Total Budget : $114,000(10%)</t>
  </si>
  <si>
    <t>Total Budget : $164,000(15%)</t>
  </si>
  <si>
    <t>Total Budget : $414,000(40%)</t>
  </si>
  <si>
    <t>Total Budget : $64,000(5%)</t>
  </si>
  <si>
    <t>Operationl</t>
  </si>
  <si>
    <t>Field visits Transport</t>
  </si>
  <si>
    <t>Transport for visiting PwDs(taxi/rented car)</t>
  </si>
  <si>
    <t>Kabul + nearby districts</t>
  </si>
  <si>
    <t>Travel to Provinces</t>
  </si>
  <si>
    <t>Travel to 2 provinces</t>
  </si>
  <si>
    <t>Bamyan/ Herat</t>
  </si>
  <si>
    <t>Feul Cost</t>
  </si>
  <si>
    <t>Fuel for rented vihecle</t>
  </si>
  <si>
    <t>rural ares/ Hotel for field team</t>
  </si>
  <si>
    <t>mid-level</t>
  </si>
  <si>
    <t>Food &amp; Meals</t>
  </si>
  <si>
    <t>Daily meals for team</t>
  </si>
  <si>
    <t>Field work days</t>
  </si>
  <si>
    <t>Whiteboard &amp; Markers</t>
  </si>
  <si>
    <t>Drawing System Architecture Diagrams</t>
  </si>
  <si>
    <t>Projector</t>
  </si>
  <si>
    <t>Presenting system design to team</t>
  </si>
  <si>
    <t>External Monitors</t>
  </si>
  <si>
    <t>For better UI/UX &amp; system modeling work</t>
  </si>
  <si>
    <t>UPS(Power backup)</t>
  </si>
  <si>
    <t>Backup during electricity cuts</t>
  </si>
  <si>
    <t>Microsoft Office 365</t>
  </si>
  <si>
    <t>Documentation,reports,Excel Analysis</t>
  </si>
  <si>
    <t>SPSS</t>
  </si>
  <si>
    <t>Data analysis(quantitive research)</t>
  </si>
  <si>
    <t>Licennse(short-term)</t>
  </si>
  <si>
    <t>Qunatity/Duration</t>
  </si>
  <si>
    <t>Grahpics tablet</t>
  </si>
  <si>
    <t>Necessary for the UI/UX design</t>
  </si>
  <si>
    <t>DB modeling tools</t>
  </si>
  <si>
    <t>Stakeholder workshop</t>
  </si>
  <si>
    <t>Helpdesk software</t>
  </si>
  <si>
    <t>Zendesk, Freshdesk</t>
  </si>
  <si>
    <t>Monitoring tools</t>
  </si>
  <si>
    <t>Nagios, Grafana</t>
  </si>
  <si>
    <t>Security Update tools</t>
  </si>
  <si>
    <t>Backup  &amp; Recovery</t>
  </si>
  <si>
    <t>Support team travel</t>
  </si>
  <si>
    <t>Emergency visits</t>
  </si>
  <si>
    <t>Maintenance trip</t>
  </si>
  <si>
    <t>Support laptops</t>
  </si>
  <si>
    <t>Monitoring screens</t>
  </si>
  <si>
    <t>Backup storage system</t>
  </si>
  <si>
    <t>Network diagnostic tools</t>
  </si>
  <si>
    <t>Quantiy</t>
  </si>
  <si>
    <t>Deployment team travel</t>
  </si>
  <si>
    <t>On-site installation visits</t>
  </si>
  <si>
    <t>User training sessions</t>
  </si>
  <si>
    <t>Training accommodation</t>
  </si>
  <si>
    <t>Transportation of equipment</t>
  </si>
  <si>
    <t>Perecentage</t>
  </si>
  <si>
    <t>Cloud hosting(AWS, Azure, GCP)</t>
  </si>
  <si>
    <t>Domain registration</t>
  </si>
  <si>
    <t>Security Softare(firewall, antivirus)</t>
  </si>
  <si>
    <t>CDN Services</t>
  </si>
  <si>
    <t>Backup software</t>
  </si>
  <si>
    <t>Logging Systems</t>
  </si>
  <si>
    <t>SSL certificates</t>
  </si>
  <si>
    <t>Travel to user testing locations</t>
  </si>
  <si>
    <t>The accommodation of the testing teams</t>
  </si>
  <si>
    <t>Food &amp; daily allowance</t>
  </si>
  <si>
    <t>Automation tools</t>
  </si>
  <si>
    <t>Performance tools</t>
  </si>
  <si>
    <t>Bug tracking</t>
  </si>
  <si>
    <t>Accessibility testing tools</t>
  </si>
  <si>
    <t>Device emulators</t>
  </si>
  <si>
    <t>Voice testing software</t>
  </si>
  <si>
    <t>Log monitoring tools</t>
  </si>
  <si>
    <t>Smartphones</t>
  </si>
  <si>
    <t>Assistive devices</t>
  </si>
  <si>
    <t>Noise testing equipment</t>
  </si>
  <si>
    <t>Audio calibration tools</t>
  </si>
  <si>
    <t>Recording devices</t>
  </si>
  <si>
    <t>Developer meetings</t>
  </si>
  <si>
    <t>Remote work support</t>
  </si>
  <si>
    <t>Internal workshops</t>
  </si>
  <si>
    <t>Team collaboration events</t>
  </si>
  <si>
    <t>IDEs</t>
  </si>
  <si>
    <t>Cloud compute</t>
  </si>
  <si>
    <t>Storage Services</t>
  </si>
  <si>
    <t>Speech APIs</t>
  </si>
  <si>
    <t>NLP tools</t>
  </si>
  <si>
    <t>DB licenses</t>
  </si>
  <si>
    <t>Container tools</t>
  </si>
  <si>
    <t>CI/CD tools</t>
  </si>
  <si>
    <t>API testing tools</t>
  </si>
  <si>
    <t>Security tools</t>
  </si>
  <si>
    <t>Laptops</t>
  </si>
  <si>
    <t>Dedicated GPU machine</t>
  </si>
  <si>
    <t>Local server</t>
  </si>
  <si>
    <t>cooling systems</t>
  </si>
  <si>
    <t>cable management tools</t>
  </si>
  <si>
    <t>External GPU</t>
  </si>
  <si>
    <t>Backup UPS System</t>
  </si>
  <si>
    <t>Meduim</t>
  </si>
  <si>
    <t>Paid / Free</t>
  </si>
  <si>
    <t>Paid/ Free</t>
  </si>
  <si>
    <t>Food &amp; Meal</t>
  </si>
  <si>
    <t>Marketing tools</t>
  </si>
  <si>
    <t>Accommodations</t>
  </si>
  <si>
    <t>Foods &amp; meals</t>
  </si>
  <si>
    <t>CRM tools</t>
  </si>
  <si>
    <t>Allowance</t>
  </si>
  <si>
    <t>Installation kits</t>
  </si>
  <si>
    <t>Load balancer dev</t>
  </si>
  <si>
    <t>Backup servers</t>
  </si>
  <si>
    <t>Production servers</t>
  </si>
  <si>
    <t>Cloud or physical</t>
  </si>
  <si>
    <t>PwDs user participation</t>
  </si>
  <si>
    <t>The user participation incentives</t>
  </si>
  <si>
    <t>WAVE, Axe</t>
  </si>
  <si>
    <t>Jira, Bugzilla</t>
  </si>
  <si>
    <t>Jmeter, LoadRunner</t>
  </si>
  <si>
    <t>Selenium, Cypress</t>
  </si>
  <si>
    <t>for feedback</t>
  </si>
  <si>
    <t>Screen readers, braille tools if possible</t>
  </si>
  <si>
    <t>multiple low-end and high-end</t>
  </si>
  <si>
    <t>for data packages</t>
  </si>
  <si>
    <t>Postman</t>
  </si>
  <si>
    <t>code scanning tools</t>
  </si>
  <si>
    <t>GitHub Actions, Jenkins</t>
  </si>
  <si>
    <t>Docker</t>
  </si>
  <si>
    <t>Some may need licenses</t>
  </si>
  <si>
    <t>OpenAI API, HuggingFace</t>
  </si>
  <si>
    <t>Google Speech-to-Text, Azure Speech</t>
  </si>
  <si>
    <t>S3, Blob storage</t>
  </si>
  <si>
    <t>AWS EC2, Azure VM</t>
  </si>
  <si>
    <t>VS Code, IntelliJ, PyCharm Pro</t>
  </si>
  <si>
    <t>imprtant for hardware</t>
  </si>
  <si>
    <t>Optional</t>
  </si>
  <si>
    <t>For AI training</t>
  </si>
  <si>
    <t>High performance for develpoers</t>
  </si>
  <si>
    <t>Accommlodation</t>
  </si>
  <si>
    <t>Daily allowance</t>
  </si>
  <si>
    <t>Field visits to PwDs centers</t>
  </si>
  <si>
    <t>For UI/UX design</t>
  </si>
  <si>
    <t>Diagram tools</t>
  </si>
  <si>
    <t>Lucidchart, Draw.io</t>
  </si>
  <si>
    <t>Accessibilty design</t>
  </si>
  <si>
    <t>Tools for the design of accessibilty</t>
  </si>
  <si>
    <t>The necessary tools related to security</t>
  </si>
  <si>
    <t>The technical related taxes</t>
  </si>
  <si>
    <t>The financila related taxes</t>
  </si>
  <si>
    <t>The operation related taxes</t>
  </si>
  <si>
    <t>The legal cases taxes</t>
  </si>
  <si>
    <t xml:space="preserve">The tools for testing the noise </t>
  </si>
  <si>
    <t>Adjusting the related tones</t>
  </si>
  <si>
    <t>The cost of feul</t>
  </si>
  <si>
    <t>Designing the architecture of the system</t>
  </si>
  <si>
    <t>For design of architecture</t>
  </si>
  <si>
    <t>tools for modeling dababase</t>
  </si>
  <si>
    <t>The workshop between stakehoders</t>
  </si>
  <si>
    <t>The living/accommodation costs</t>
  </si>
  <si>
    <t>small stipends of the teams</t>
  </si>
  <si>
    <t>To design the system based on requirments</t>
  </si>
  <si>
    <t>For having services locally</t>
  </si>
  <si>
    <t>For building the internal system</t>
  </si>
  <si>
    <t>For electricity power backup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</si>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</sst>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scheme val="minor"/>
    </font>
    <font>
      <i/>
      <sz val="12"/>
      <color rgb="FF7F7F7F"/>
      <name val="Aptos Narrow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59999389629810485"/>
        <bgColor indexed="65"/>
      </patternFill>
    </fill>
  </fills>
  <borders count="4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theme="1" tint="0.499984740745262"/>
      </right>
      <top style="medium">
        <color theme="4" tint="0.39997558519241921"/>
      </top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4" tint="0.39997558519241921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4" tint="0.39997558519241921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thin">
        <color theme="4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4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thin">
        <color theme="4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/>
      <top style="medium">
        <color theme="4" tint="0.39997558519241921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 style="medium">
        <color theme="4" tint="0.39997558519241921"/>
      </top>
      <bottom style="thin">
        <color theme="2" tint="-0.24994659260841701"/>
      </bottom>
      <diagonal/>
    </border>
    <border>
      <left/>
      <right/>
      <top style="thin">
        <color theme="2" tint="-0.24994659260841701"/>
      </top>
      <bottom style="medium">
        <color theme="4" tint="0.39997558519241921"/>
      </bottom>
      <diagonal/>
    </border>
    <border>
      <left/>
      <right/>
      <top style="medium">
        <color theme="4" tint="0.39997558519241921"/>
      </top>
      <bottom style="thin">
        <color theme="2" tint="-0.24994659260841701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  <border>
      <left/>
      <right/>
      <top style="thin">
        <color theme="2" tint="-0.24994659260841701"/>
      </top>
      <bottom/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/>
      <top style="thin">
        <color theme="2" tint="-0.24994659260841701"/>
      </top>
      <bottom style="thin">
        <color theme="4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thin">
        <color theme="4"/>
      </bottom>
      <diagonal/>
    </border>
    <border>
      <left/>
      <right/>
      <top style="double">
        <color theme="4"/>
      </top>
      <bottom style="medium">
        <color theme="4" tint="0.39997558519241921"/>
      </bottom>
      <diagonal/>
    </border>
    <border diagonalUp="1">
      <left style="thin">
        <color theme="2" tint="-0.24994659260841701"/>
      </left>
      <right style="thin">
        <color theme="2" tint="-0.24994659260841701"/>
      </right>
      <top style="medium">
        <color theme="4" tint="0.39997558519241921"/>
      </top>
      <bottom style="thin">
        <color theme="2" tint="-0.24994659260841701"/>
      </bottom>
      <diagonal style="thin">
        <color theme="2" tint="-0.24994659260841701"/>
      </diagonal>
    </border>
    <border diagonalUp="1"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 style="thin">
        <color theme="2" tint="-0.24994659260841701"/>
      </diagonal>
    </border>
    <border diagonalUp="1">
      <left style="thin">
        <color theme="2" tint="-0.24994659260841701"/>
      </left>
      <right/>
      <top style="thin">
        <color theme="2" tint="-0.24994659260841701"/>
      </top>
      <bottom style="thin">
        <color theme="2" tint="-0.24994659260841701"/>
      </bottom>
      <diagonal style="thin">
        <color theme="2" tint="-0.24994659260841701"/>
      </diagonal>
    </border>
    <border diagonalUp="1">
      <left/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 style="thin">
        <color theme="2" tint="-0.24994659260841701"/>
      </diagonal>
    </border>
    <border>
      <left style="thin">
        <color theme="2" tint="-0.24994659260841701"/>
      </left>
      <right/>
      <top/>
      <bottom style="thin">
        <color theme="2" tint="-0.24994659260841701"/>
      </bottom>
      <diagonal/>
    </border>
    <border>
      <left/>
      <right/>
      <top/>
      <bottom style="thin">
        <color theme="2" tint="-0.24994659260841701"/>
      </bottom>
      <diagonal/>
    </border>
    <border>
      <left style="thin">
        <color theme="2" tint="-0.24994659260841701"/>
      </left>
      <right/>
      <top/>
      <bottom/>
      <diagonal/>
    </border>
    <border>
      <left/>
      <right style="thin">
        <color theme="2" tint="-0.24994659260841701"/>
      </right>
      <top/>
      <bottom/>
      <diagonal/>
    </border>
    <border>
      <left/>
      <right/>
      <top style="thin">
        <color theme="2" tint="-0.24994659260841701"/>
      </top>
      <bottom style="thin">
        <color theme="4"/>
      </bottom>
      <diagonal/>
    </border>
    <border>
      <left style="thin">
        <color theme="2" tint="-0.24994659260841701"/>
      </left>
      <right style="thin">
        <color theme="2" tint="-0.24994659260841701"/>
      </right>
      <top style="medium">
        <color theme="4" tint="0.3999755851924192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4"/>
      </bottom>
      <diagonal/>
    </border>
    <border diagonalUp="1"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4"/>
      </bottom>
      <diagonal style="thin">
        <color theme="2" tint="-0.24994659260841701"/>
      </diagonal>
    </border>
    <border diagonalUp="1"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 style="thin">
        <color theme="2" tint="-0.24994659260841701"/>
      </diagonal>
    </border>
  </borders>
  <cellStyleXfs count="16">
    <xf numFmtId="0" fontId="0" fillId="0" borderId="0"/>
    <xf numFmtId="0" fontId="2" fillId="0" borderId="1" applyNumberFormat="0" applyFill="0" applyAlignment="0" applyProtection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8" fillId="6" borderId="0" applyNumberFormat="0" applyBorder="0" applyAlignment="0" applyProtection="0"/>
    <xf numFmtId="0" fontId="9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34">
    <xf numFmtId="0" fontId="0" fillId="0" borderId="0" xfId="0"/>
    <xf numFmtId="0" fontId="7" fillId="0" borderId="0" xfId="2" applyFont="1" applyAlignment="1">
      <alignment horizontal="center" vertical="center"/>
    </xf>
    <xf numFmtId="0" fontId="5" fillId="2" borderId="13" xfId="4" applyBorder="1" applyAlignment="1">
      <alignment horizontal="center" vertical="center"/>
    </xf>
    <xf numFmtId="0" fontId="2" fillId="0" borderId="1" xfId="1" applyFill="1" applyAlignment="1">
      <alignment horizontal="center" vertical="center"/>
    </xf>
    <xf numFmtId="6" fontId="5" fillId="2" borderId="13" xfId="4" applyNumberFormat="1" applyBorder="1" applyAlignment="1">
      <alignment horizontal="center" vertical="center"/>
    </xf>
    <xf numFmtId="0" fontId="1" fillId="10" borderId="0" xfId="12" applyAlignment="1">
      <alignment horizontal="center" vertical="center" textRotation="90"/>
    </xf>
    <xf numFmtId="0" fontId="4" fillId="12" borderId="2" xfId="3" applyFill="1" applyAlignment="1">
      <alignment horizontal="center" vertical="center"/>
    </xf>
    <xf numFmtId="6" fontId="4" fillId="12" borderId="2" xfId="3" applyNumberFormat="1" applyFill="1" applyAlignment="1">
      <alignment horizontal="center" vertical="center"/>
    </xf>
    <xf numFmtId="0" fontId="8" fillId="6" borderId="0" xfId="8" applyBorder="1" applyAlignment="1">
      <alignment horizontal="center" vertical="center" textRotation="90"/>
    </xf>
    <xf numFmtId="0" fontId="2" fillId="0" borderId="1" xfId="1" applyAlignment="1">
      <alignment horizontal="center" vertical="center"/>
    </xf>
    <xf numFmtId="0" fontId="5" fillId="2" borderId="12" xfId="4" applyBorder="1" applyAlignment="1">
      <alignment horizontal="center" vertical="center"/>
    </xf>
    <xf numFmtId="0" fontId="2" fillId="0" borderId="28" xfId="1" applyFill="1" applyBorder="1" applyAlignment="1">
      <alignment horizontal="center" vertical="center"/>
    </xf>
    <xf numFmtId="0" fontId="5" fillId="2" borderId="38" xfId="4" applyBorder="1" applyAlignment="1">
      <alignment horizontal="center" vertical="center"/>
    </xf>
    <xf numFmtId="0" fontId="5" fillId="2" borderId="39" xfId="4" applyBorder="1" applyAlignment="1">
      <alignment horizontal="center" vertical="center"/>
    </xf>
    <xf numFmtId="6" fontId="5" fillId="2" borderId="38" xfId="4" applyNumberFormat="1" applyBorder="1" applyAlignment="1">
      <alignment horizontal="center" vertical="center"/>
    </xf>
    <xf numFmtId="0" fontId="5" fillId="2" borderId="18" xfId="4" applyNumberFormat="1" applyBorder="1" applyAlignment="1">
      <alignment horizontal="center" vertical="center"/>
    </xf>
    <xf numFmtId="0" fontId="5" fillId="2" borderId="14" xfId="4" applyNumberFormat="1" applyBorder="1" applyAlignment="1">
      <alignment horizontal="center" vertical="center"/>
    </xf>
    <xf numFmtId="0" fontId="4" fillId="12" borderId="2" xfId="3" applyNumberFormat="1" applyFill="1" applyAlignment="1">
      <alignment horizontal="center" vertical="center"/>
    </xf>
    <xf numFmtId="6" fontId="5" fillId="2" borderId="19" xfId="4" applyNumberFormat="1" applyBorder="1" applyAlignment="1">
      <alignment horizontal="center" vertical="center"/>
    </xf>
    <xf numFmtId="6" fontId="5" fillId="2" borderId="16" xfId="4" applyNumberFormat="1" applyBorder="1" applyAlignment="1">
      <alignment horizontal="center" vertical="center"/>
    </xf>
    <xf numFmtId="6" fontId="5" fillId="2" borderId="27" xfId="4" applyNumberFormat="1" applyBorder="1" applyAlignment="1">
      <alignment horizontal="center" vertical="center"/>
    </xf>
    <xf numFmtId="0" fontId="6" fillId="4" borderId="0" xfId="6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0" fillId="5" borderId="0" xfId="7" applyFont="1" applyAlignment="1">
      <alignment horizontal="center" vertical="center"/>
    </xf>
    <xf numFmtId="0" fontId="1" fillId="5" borderId="0" xfId="7" applyAlignment="1">
      <alignment horizontal="center" vertical="center"/>
    </xf>
    <xf numFmtId="0" fontId="0" fillId="0" borderId="0" xfId="0"/>
    <xf numFmtId="0" fontId="2" fillId="0" borderId="1" xfId="1" applyAlignment="1">
      <alignment horizontal="center" vertical="center"/>
    </xf>
    <xf numFmtId="0" fontId="5" fillId="2" borderId="6" xfId="4" applyBorder="1" applyAlignment="1">
      <alignment horizontal="center" vertical="center" wrapText="1"/>
    </xf>
    <xf numFmtId="0" fontId="5" fillId="2" borderId="7" xfId="4" applyBorder="1" applyAlignment="1">
      <alignment horizontal="center" vertical="center" wrapText="1"/>
    </xf>
    <xf numFmtId="0" fontId="5" fillId="2" borderId="9" xfId="4" applyBorder="1" applyAlignment="1">
      <alignment horizontal="center" vertical="center" wrapText="1"/>
    </xf>
    <xf numFmtId="0" fontId="5" fillId="2" borderId="10" xfId="4" applyBorder="1" applyAlignment="1">
      <alignment horizontal="center" vertical="center" wrapText="1"/>
    </xf>
    <xf numFmtId="6" fontId="5" fillId="2" borderId="7" xfId="4" applyNumberFormat="1" applyBorder="1" applyAlignment="1">
      <alignment horizontal="center" vertical="center" wrapText="1"/>
    </xf>
    <xf numFmtId="6" fontId="5" fillId="2" borderId="7" xfId="4" applyNumberFormat="1" applyBorder="1" applyAlignment="1">
      <alignment horizontal="center" vertical="center"/>
    </xf>
    <xf numFmtId="0" fontId="5" fillId="2" borderId="7" xfId="4" applyBorder="1" applyAlignment="1">
      <alignment horizontal="center" vertical="center"/>
    </xf>
    <xf numFmtId="0" fontId="0" fillId="3" borderId="0" xfId="5" applyFont="1" applyAlignment="1">
      <alignment horizontal="center" vertical="center"/>
    </xf>
    <xf numFmtId="0" fontId="1" fillId="3" borderId="0" xfId="5" applyAlignment="1">
      <alignment horizontal="center" vertical="center"/>
    </xf>
    <xf numFmtId="0" fontId="2" fillId="0" borderId="1" xfId="1" applyFill="1" applyAlignment="1">
      <alignment horizontal="center" vertical="center"/>
    </xf>
    <xf numFmtId="0" fontId="5" fillId="2" borderId="3" xfId="4" applyBorder="1" applyAlignment="1">
      <alignment horizontal="center" vertical="center"/>
    </xf>
    <xf numFmtId="0" fontId="5" fillId="2" borderId="4" xfId="4" applyBorder="1" applyAlignment="1">
      <alignment horizontal="center" vertical="center"/>
    </xf>
    <xf numFmtId="0" fontId="5" fillId="2" borderId="6" xfId="4" applyBorder="1" applyAlignment="1">
      <alignment horizontal="center" vertical="center"/>
    </xf>
    <xf numFmtId="0" fontId="5" fillId="2" borderId="4" xfId="4" applyBorder="1" applyAlignment="1">
      <alignment horizontal="center" vertical="center" wrapText="1"/>
    </xf>
    <xf numFmtId="6" fontId="5" fillId="2" borderId="4" xfId="4" applyNumberFormat="1" applyBorder="1" applyAlignment="1">
      <alignment horizontal="center" vertical="center"/>
    </xf>
    <xf numFmtId="0" fontId="5" fillId="2" borderId="5" xfId="4" applyBorder="1" applyAlignment="1">
      <alignment horizontal="center" vertical="center" wrapText="1"/>
    </xf>
    <xf numFmtId="0" fontId="5" fillId="2" borderId="8" xfId="4" applyBorder="1" applyAlignment="1">
      <alignment horizontal="center" vertical="center" wrapText="1"/>
    </xf>
    <xf numFmtId="0" fontId="5" fillId="2" borderId="11" xfId="4" applyBorder="1" applyAlignment="1">
      <alignment horizontal="center" vertical="center" wrapText="1"/>
    </xf>
    <xf numFmtId="0" fontId="5" fillId="2" borderId="10" xfId="4" applyBorder="1" applyAlignment="1">
      <alignment horizontal="center" vertical="center"/>
    </xf>
    <xf numFmtId="0" fontId="4" fillId="0" borderId="2" xfId="3" applyFill="1" applyAlignment="1">
      <alignment wrapText="1"/>
    </xf>
    <xf numFmtId="0" fontId="4" fillId="0" borderId="2" xfId="3" applyAlignment="1"/>
    <xf numFmtId="6" fontId="4" fillId="0" borderId="2" xfId="3" applyNumberFormat="1" applyAlignment="1"/>
    <xf numFmtId="0" fontId="9" fillId="7" borderId="0" xfId="9" applyAlignment="1">
      <alignment horizontal="center" vertical="center"/>
    </xf>
    <xf numFmtId="0" fontId="2" fillId="0" borderId="28" xfId="1" applyBorder="1" applyAlignment="1">
      <alignment horizontal="center" vertical="center"/>
    </xf>
    <xf numFmtId="6" fontId="5" fillId="2" borderId="18" xfId="4" applyNumberFormat="1" applyBorder="1" applyAlignment="1">
      <alignment horizontal="center" vertical="center"/>
    </xf>
    <xf numFmtId="0" fontId="5" fillId="2" borderId="21" xfId="4" applyBorder="1" applyAlignment="1">
      <alignment horizontal="center" vertical="center"/>
    </xf>
    <xf numFmtId="0" fontId="5" fillId="2" borderId="19" xfId="4" applyBorder="1" applyAlignment="1">
      <alignment horizontal="center" vertical="center"/>
    </xf>
    <xf numFmtId="6" fontId="5" fillId="2" borderId="14" xfId="4" applyNumberFormat="1" applyBorder="1" applyAlignment="1">
      <alignment horizontal="center" vertical="center"/>
    </xf>
    <xf numFmtId="0" fontId="5" fillId="2" borderId="15" xfId="4" applyBorder="1" applyAlignment="1">
      <alignment horizontal="center" vertical="center"/>
    </xf>
    <xf numFmtId="0" fontId="5" fillId="2" borderId="16" xfId="4" applyBorder="1" applyAlignment="1">
      <alignment horizontal="center" vertical="center"/>
    </xf>
    <xf numFmtId="6" fontId="4" fillId="12" borderId="2" xfId="3" applyNumberFormat="1" applyFill="1" applyAlignment="1">
      <alignment horizontal="center" vertical="center"/>
    </xf>
    <xf numFmtId="0" fontId="4" fillId="12" borderId="2" xfId="3" applyFill="1" applyAlignment="1">
      <alignment horizontal="center" vertical="center"/>
    </xf>
    <xf numFmtId="0" fontId="5" fillId="2" borderId="12" xfId="4" applyBorder="1" applyAlignment="1">
      <alignment horizontal="center" vertical="center"/>
    </xf>
    <xf numFmtId="0" fontId="5" fillId="2" borderId="14" xfId="4" applyBorder="1" applyAlignment="1">
      <alignment horizontal="center" vertical="center"/>
    </xf>
    <xf numFmtId="0" fontId="5" fillId="2" borderId="13" xfId="4" applyBorder="1" applyAlignment="1">
      <alignment horizontal="center" vertical="center"/>
    </xf>
    <xf numFmtId="8" fontId="5" fillId="2" borderId="12" xfId="4" applyNumberFormat="1" applyBorder="1" applyAlignment="1">
      <alignment horizontal="center" vertical="center"/>
    </xf>
    <xf numFmtId="9" fontId="4" fillId="12" borderId="2" xfId="3" applyNumberFormat="1" applyFill="1" applyAlignment="1">
      <alignment horizontal="center" vertical="center"/>
    </xf>
    <xf numFmtId="9" fontId="5" fillId="2" borderId="18" xfId="14" applyFont="1" applyFill="1" applyBorder="1" applyAlignment="1">
      <alignment horizontal="center" vertical="center"/>
    </xf>
    <xf numFmtId="9" fontId="5" fillId="2" borderId="21" xfId="14" applyFont="1" applyFill="1" applyBorder="1" applyAlignment="1">
      <alignment horizontal="center" vertical="center"/>
    </xf>
    <xf numFmtId="9" fontId="5" fillId="2" borderId="19" xfId="14" applyFont="1" applyFill="1" applyBorder="1" applyAlignment="1">
      <alignment horizontal="center" vertical="center"/>
    </xf>
    <xf numFmtId="9" fontId="5" fillId="2" borderId="35" xfId="14" applyFont="1" applyFill="1" applyBorder="1" applyAlignment="1">
      <alignment horizontal="center" vertical="center"/>
    </xf>
    <xf numFmtId="9" fontId="5" fillId="2" borderId="0" xfId="14" applyFont="1" applyFill="1" applyBorder="1" applyAlignment="1">
      <alignment horizontal="center" vertical="center"/>
    </xf>
    <xf numFmtId="9" fontId="5" fillId="2" borderId="36" xfId="14" applyFont="1" applyFill="1" applyBorder="1" applyAlignment="1">
      <alignment horizontal="center" vertical="center"/>
    </xf>
    <xf numFmtId="9" fontId="5" fillId="2" borderId="14" xfId="14" applyFont="1" applyFill="1" applyBorder="1" applyAlignment="1">
      <alignment horizontal="center" vertical="center"/>
    </xf>
    <xf numFmtId="9" fontId="5" fillId="2" borderId="15" xfId="14" applyFont="1" applyFill="1" applyBorder="1" applyAlignment="1">
      <alignment horizontal="center" vertical="center"/>
    </xf>
    <xf numFmtId="9" fontId="5" fillId="2" borderId="16" xfId="14" applyFont="1" applyFill="1" applyBorder="1" applyAlignment="1">
      <alignment horizontal="center" vertical="center"/>
    </xf>
    <xf numFmtId="9" fontId="5" fillId="2" borderId="33" xfId="14" applyFont="1" applyFill="1" applyBorder="1" applyAlignment="1">
      <alignment horizontal="center" vertical="center"/>
    </xf>
    <xf numFmtId="9" fontId="5" fillId="2" borderId="34" xfId="14" applyFont="1" applyFill="1" applyBorder="1" applyAlignment="1">
      <alignment horizontal="center" vertical="center"/>
    </xf>
    <xf numFmtId="9" fontId="5" fillId="2" borderId="17" xfId="14" applyFont="1" applyFill="1" applyBorder="1" applyAlignment="1">
      <alignment horizontal="center" vertical="center"/>
    </xf>
    <xf numFmtId="0" fontId="5" fillId="2" borderId="18" xfId="4" applyBorder="1" applyAlignment="1">
      <alignment horizontal="center" vertical="center"/>
    </xf>
    <xf numFmtId="0" fontId="5" fillId="2" borderId="26" xfId="4" applyBorder="1" applyAlignment="1">
      <alignment horizontal="center" vertical="center"/>
    </xf>
    <xf numFmtId="0" fontId="5" fillId="2" borderId="27" xfId="4" applyBorder="1" applyAlignment="1">
      <alignment horizontal="center" vertical="center"/>
    </xf>
    <xf numFmtId="9" fontId="5" fillId="2" borderId="13" xfId="14" applyFont="1" applyFill="1" applyBorder="1" applyAlignment="1">
      <alignment horizontal="center" vertical="center"/>
    </xf>
    <xf numFmtId="0" fontId="0" fillId="3" borderId="0" xfId="5" applyFont="1" applyBorder="1" applyAlignment="1">
      <alignment horizontal="center"/>
    </xf>
    <xf numFmtId="0" fontId="0" fillId="3" borderId="0" xfId="5" applyFont="1" applyBorder="1" applyAlignment="1">
      <alignment horizontal="center" vertical="center"/>
    </xf>
    <xf numFmtId="0" fontId="1" fillId="3" borderId="0" xfId="5" applyBorder="1" applyAlignment="1"/>
    <xf numFmtId="0" fontId="9" fillId="7" borderId="0" xfId="9" applyBorder="1" applyAlignment="1">
      <alignment horizontal="center" vertical="center"/>
    </xf>
    <xf numFmtId="0" fontId="2" fillId="0" borderId="20" xfId="1" applyBorder="1" applyAlignment="1">
      <alignment horizontal="center" vertical="center"/>
    </xf>
    <xf numFmtId="6" fontId="5" fillId="2" borderId="12" xfId="4" applyNumberFormat="1" applyBorder="1" applyAlignment="1">
      <alignment horizontal="center" vertical="center"/>
    </xf>
    <xf numFmtId="0" fontId="5" fillId="2" borderId="31" xfId="4" applyBorder="1" applyAlignment="1">
      <alignment horizontal="center" vertical="center"/>
    </xf>
    <xf numFmtId="0" fontId="5" fillId="2" borderId="32" xfId="4" applyBorder="1" applyAlignment="1">
      <alignment horizontal="center" vertical="center"/>
    </xf>
    <xf numFmtId="6" fontId="5" fillId="2" borderId="13" xfId="4" applyNumberFormat="1" applyBorder="1" applyAlignment="1">
      <alignment horizontal="center" vertical="center"/>
    </xf>
    <xf numFmtId="9" fontId="5" fillId="2" borderId="12" xfId="14" applyFont="1" applyFill="1" applyBorder="1" applyAlignment="1">
      <alignment horizontal="center" vertical="center"/>
    </xf>
    <xf numFmtId="9" fontId="5" fillId="2" borderId="22" xfId="14" applyFont="1" applyFill="1" applyBorder="1" applyAlignment="1">
      <alignment horizontal="center" vertical="center"/>
    </xf>
    <xf numFmtId="9" fontId="5" fillId="2" borderId="23" xfId="14" applyFont="1" applyFill="1" applyBorder="1" applyAlignment="1">
      <alignment horizontal="center" vertical="center"/>
    </xf>
    <xf numFmtId="9" fontId="5" fillId="2" borderId="24" xfId="14" applyFont="1" applyFill="1" applyBorder="1" applyAlignment="1">
      <alignment horizontal="center" vertical="center"/>
    </xf>
    <xf numFmtId="0" fontId="1" fillId="5" borderId="0" xfId="7" applyAlignment="1">
      <alignment horizontal="center" vertical="center" textRotation="90"/>
    </xf>
    <xf numFmtId="0" fontId="0" fillId="11" borderId="0" xfId="13" applyFont="1" applyAlignment="1">
      <alignment horizontal="center" vertical="center" textRotation="90"/>
    </xf>
    <xf numFmtId="0" fontId="1" fillId="11" borderId="0" xfId="13" applyAlignment="1">
      <alignment horizontal="center" vertical="center" textRotation="90"/>
    </xf>
    <xf numFmtId="6" fontId="5" fillId="2" borderId="22" xfId="4" applyNumberFormat="1" applyBorder="1" applyAlignment="1">
      <alignment horizontal="center" vertical="center"/>
    </xf>
    <xf numFmtId="0" fontId="5" fillId="2" borderId="23" xfId="4" applyBorder="1" applyAlignment="1">
      <alignment horizontal="center" vertical="center"/>
    </xf>
    <xf numFmtId="0" fontId="5" fillId="2" borderId="24" xfId="4" applyBorder="1" applyAlignment="1">
      <alignment horizontal="center" vertical="center"/>
    </xf>
    <xf numFmtId="8" fontId="4" fillId="12" borderId="2" xfId="3" applyNumberFormat="1" applyFill="1" applyAlignment="1">
      <alignment horizontal="center" vertical="center"/>
    </xf>
    <xf numFmtId="0" fontId="0" fillId="10" borderId="0" xfId="12" applyFont="1" applyAlignment="1">
      <alignment horizontal="center" vertical="center" textRotation="90"/>
    </xf>
    <xf numFmtId="0" fontId="1" fillId="10" borderId="0" xfId="12" applyAlignment="1">
      <alignment horizontal="center" vertical="center" textRotation="90"/>
    </xf>
    <xf numFmtId="0" fontId="1" fillId="9" borderId="0" xfId="11" applyAlignment="1">
      <alignment horizontal="center" vertical="center" textRotation="90"/>
    </xf>
    <xf numFmtId="0" fontId="0" fillId="8" borderId="0" xfId="10" applyFont="1" applyBorder="1" applyAlignment="1">
      <alignment horizontal="center" vertical="center" textRotation="90"/>
    </xf>
    <xf numFmtId="0" fontId="1" fillId="8" borderId="0" xfId="10" applyBorder="1" applyAlignment="1">
      <alignment horizontal="center" vertical="center" textRotation="90"/>
    </xf>
    <xf numFmtId="0" fontId="1" fillId="8" borderId="0" xfId="10" applyAlignment="1">
      <alignment horizontal="center" vertical="center" textRotation="90"/>
    </xf>
    <xf numFmtId="0" fontId="8" fillId="6" borderId="0" xfId="8" applyBorder="1" applyAlignment="1">
      <alignment horizontal="center" vertical="center" textRotation="90"/>
    </xf>
    <xf numFmtId="0" fontId="5" fillId="2" borderId="17" xfId="4" applyBorder="1" applyAlignment="1">
      <alignment horizontal="center" vertical="center"/>
    </xf>
    <xf numFmtId="0" fontId="0" fillId="5" borderId="0" xfId="7" applyFont="1" applyBorder="1" applyAlignment="1">
      <alignment horizontal="center" vertical="center"/>
    </xf>
    <xf numFmtId="0" fontId="1" fillId="5" borderId="0" xfId="7" applyBorder="1" applyAlignment="1"/>
    <xf numFmtId="0" fontId="1" fillId="3" borderId="0" xfId="5" applyBorder="1" applyAlignment="1">
      <alignment horizontal="center"/>
    </xf>
    <xf numFmtId="0" fontId="2" fillId="0" borderId="28" xfId="1" applyFill="1" applyBorder="1" applyAlignment="1">
      <alignment horizontal="center" vertical="center"/>
    </xf>
    <xf numFmtId="0" fontId="5" fillId="2" borderId="13" xfId="4" applyBorder="1"/>
    <xf numFmtId="0" fontId="5" fillId="2" borderId="30" xfId="4" applyBorder="1" applyAlignment="1">
      <alignment horizontal="center" vertical="center"/>
    </xf>
    <xf numFmtId="0" fontId="5" fillId="2" borderId="40" xfId="4" applyBorder="1" applyAlignment="1">
      <alignment horizontal="center" vertical="center"/>
    </xf>
    <xf numFmtId="0" fontId="5" fillId="2" borderId="29" xfId="4" applyBorder="1" applyAlignment="1">
      <alignment horizontal="center" vertical="center"/>
    </xf>
    <xf numFmtId="0" fontId="5" fillId="2" borderId="14" xfId="4" applyBorder="1"/>
    <xf numFmtId="0" fontId="5" fillId="2" borderId="15" xfId="4" applyBorder="1"/>
    <xf numFmtId="0" fontId="5" fillId="2" borderId="16" xfId="4" applyBorder="1"/>
    <xf numFmtId="0" fontId="5" fillId="2" borderId="37" xfId="4" applyBorder="1" applyAlignment="1">
      <alignment horizontal="center" vertical="center"/>
    </xf>
    <xf numFmtId="0" fontId="5" fillId="2" borderId="41" xfId="4" applyBorder="1" applyAlignment="1">
      <alignment horizontal="center" vertical="center"/>
    </xf>
    <xf numFmtId="0" fontId="5" fillId="2" borderId="13" xfId="4" applyNumberFormat="1" applyBorder="1" applyAlignment="1">
      <alignment horizontal="center" vertical="center"/>
    </xf>
    <xf numFmtId="6" fontId="5" fillId="2" borderId="25" xfId="4" applyNumberFormat="1" applyBorder="1" applyAlignment="1">
      <alignment horizontal="center" vertical="center"/>
    </xf>
    <xf numFmtId="0" fontId="5" fillId="2" borderId="25" xfId="4" applyBorder="1" applyAlignment="1">
      <alignment horizontal="center" vertical="center"/>
    </xf>
    <xf numFmtId="6" fontId="4" fillId="12" borderId="2" xfId="15" applyNumberFormat="1" applyFont="1" applyFill="1" applyBorder="1" applyAlignment="1">
      <alignment horizontal="center" vertical="center"/>
    </xf>
    <xf numFmtId="0" fontId="4" fillId="12" borderId="2" xfId="15" applyNumberFormat="1" applyFont="1" applyFill="1" applyBorder="1" applyAlignment="1">
      <alignment horizontal="center" vertical="center"/>
    </xf>
    <xf numFmtId="0" fontId="1" fillId="5" borderId="0" xfId="7" applyBorder="1" applyAlignment="1">
      <alignment horizontal="center" vertical="center"/>
    </xf>
    <xf numFmtId="0" fontId="2" fillId="0" borderId="23" xfId="1" applyBorder="1" applyAlignment="1">
      <alignment horizontal="center" vertical="center"/>
    </xf>
    <xf numFmtId="0" fontId="5" fillId="2" borderId="13" xfId="4" applyBorder="1" applyAlignment="1">
      <alignment horizontal="center" vertical="center" wrapText="1"/>
    </xf>
    <xf numFmtId="0" fontId="2" fillId="0" borderId="20" xfId="1" applyFill="1" applyBorder="1" applyAlignment="1">
      <alignment horizontal="center" vertical="center"/>
    </xf>
    <xf numFmtId="9" fontId="4" fillId="12" borderId="2" xfId="14" applyFont="1" applyFill="1" applyBorder="1" applyAlignment="1">
      <alignment horizontal="center" vertical="center"/>
    </xf>
    <xf numFmtId="0" fontId="5" fillId="2" borderId="14" xfId="4" applyBorder="1" applyAlignment="1">
      <alignment horizontal="center" vertical="center" shrinkToFit="1"/>
    </xf>
    <xf numFmtId="0" fontId="5" fillId="2" borderId="15" xfId="4" applyBorder="1" applyAlignment="1">
      <alignment horizontal="center" vertical="center" shrinkToFit="1"/>
    </xf>
    <xf numFmtId="0" fontId="5" fillId="2" borderId="16" xfId="4" applyBorder="1" applyAlignment="1">
      <alignment horizontal="center" vertical="center" shrinkToFit="1"/>
    </xf>
  </cellXfs>
  <cellStyles count="16">
    <cellStyle name="20% - Accent1" xfId="5" builtinId="30"/>
    <cellStyle name="20% - Accent2" xfId="10" builtinId="34"/>
    <cellStyle name="40% - Accent4" xfId="11" builtinId="43"/>
    <cellStyle name="40% - Accent5" xfId="12" builtinId="47"/>
    <cellStyle name="40% - Accent6" xfId="13" builtinId="51"/>
    <cellStyle name="60% - Accent1" xfId="6" builtinId="32"/>
    <cellStyle name="60% - Accent2" xfId="7" builtinId="36"/>
    <cellStyle name="Accent1" xfId="4" builtinId="29"/>
    <cellStyle name="Bad" xfId="9" builtinId="27"/>
    <cellStyle name="Currency" xfId="15" builtinId="4"/>
    <cellStyle name="Explanatory Text" xfId="2" builtinId="53"/>
    <cellStyle name="Good" xfId="8" builtinId="26"/>
    <cellStyle name="Heading 3" xfId="1" builtinId="18"/>
    <cellStyle name="Normal" xfId="0" builtinId="0"/>
    <cellStyle name="Percent" xfId="14" builtinId="5"/>
    <cellStyle name="Total" xfId="3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6D15C-BDF8-4AF3-B28A-3576CB71F0BF}">
  <sheetPr>
    <pageSetUpPr fitToPage="1"/>
  </sheetPr>
  <dimension ref="B4:S193"/>
  <sheetViews>
    <sheetView zoomScale="85" zoomScaleNormal="85" workbookViewId="0">
      <selection activeCell="E148" sqref="E148:H149"/>
    </sheetView>
  </sheetViews>
  <sheetFormatPr defaultRowHeight="14.5" x14ac:dyDescent="0.35"/>
  <sheetData>
    <row r="4" spans="2:19" x14ac:dyDescent="0.35">
      <c r="B4" s="21" t="s">
        <v>11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</row>
    <row r="5" spans="2:19" ht="14.5" customHeight="1" x14ac:dyDescent="0.35"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</row>
    <row r="6" spans="2:19" ht="14.5" customHeight="1" x14ac:dyDescent="0.35"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</row>
    <row r="7" spans="2:19" ht="14.5" customHeight="1" x14ac:dyDescent="0.35">
      <c r="B7" s="22" t="s">
        <v>12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</row>
    <row r="8" spans="2:19" x14ac:dyDescent="0.35"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</row>
    <row r="9" spans="2:19" ht="15.5" x14ac:dyDescent="0.3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2:19" x14ac:dyDescent="0.35">
      <c r="D10" s="23" t="s">
        <v>0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5"/>
    </row>
    <row r="11" spans="2:19" x14ac:dyDescent="0.35">
      <c r="D11" s="34" t="s">
        <v>13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25"/>
    </row>
    <row r="12" spans="2:19" x14ac:dyDescent="0.35">
      <c r="D12" s="34" t="s">
        <v>93</v>
      </c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25"/>
      <c r="Q12" s="25"/>
    </row>
    <row r="13" spans="2:19" x14ac:dyDescent="0.35">
      <c r="D13" s="34" t="s">
        <v>14</v>
      </c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25"/>
      <c r="Q13" s="25"/>
    </row>
    <row r="14" spans="2:19" x14ac:dyDescent="0.35">
      <c r="D14" s="35" t="s">
        <v>150</v>
      </c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</row>
    <row r="16" spans="2:19" ht="15" thickBot="1" x14ac:dyDescent="0.4">
      <c r="B16" s="26" t="s">
        <v>4</v>
      </c>
      <c r="C16" s="26"/>
      <c r="D16" s="26"/>
      <c r="E16" s="26" t="s">
        <v>6</v>
      </c>
      <c r="F16" s="26"/>
      <c r="G16" s="26"/>
      <c r="H16" s="26"/>
      <c r="I16" s="26" t="s">
        <v>7</v>
      </c>
      <c r="J16" s="26"/>
      <c r="K16" s="26" t="s">
        <v>8</v>
      </c>
      <c r="L16" s="26"/>
      <c r="M16" s="26" t="s">
        <v>15</v>
      </c>
      <c r="N16" s="26"/>
      <c r="O16" s="26" t="s">
        <v>16</v>
      </c>
      <c r="P16" s="36" t="s">
        <v>17</v>
      </c>
      <c r="Q16" s="36"/>
      <c r="R16" s="36" t="s">
        <v>18</v>
      </c>
      <c r="S16" s="36"/>
    </row>
    <row r="17" spans="2:19" ht="15" thickBot="1" x14ac:dyDescent="0.4"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36"/>
      <c r="Q17" s="36"/>
      <c r="R17" s="36"/>
      <c r="S17" s="36"/>
    </row>
    <row r="18" spans="2:19" ht="15" thickBot="1" x14ac:dyDescent="0.4">
      <c r="B18" s="37" t="s">
        <v>19</v>
      </c>
      <c r="C18" s="38"/>
      <c r="D18" s="38"/>
      <c r="E18" s="40" t="s">
        <v>20</v>
      </c>
      <c r="F18" s="40"/>
      <c r="G18" s="40"/>
      <c r="H18" s="40"/>
      <c r="I18" s="41">
        <v>5000</v>
      </c>
      <c r="J18" s="38"/>
      <c r="K18" s="38" t="s">
        <v>21</v>
      </c>
      <c r="L18" s="38"/>
      <c r="M18" s="38" t="s">
        <v>22</v>
      </c>
      <c r="N18" s="38"/>
      <c r="O18" s="38" t="s">
        <v>23</v>
      </c>
      <c r="P18" s="38" t="s">
        <v>24</v>
      </c>
      <c r="Q18" s="38"/>
      <c r="R18" s="40" t="s">
        <v>25</v>
      </c>
      <c r="S18" s="42"/>
    </row>
    <row r="19" spans="2:19" ht="15" thickBot="1" x14ac:dyDescent="0.4">
      <c r="B19" s="39"/>
      <c r="C19" s="33"/>
      <c r="D19" s="33"/>
      <c r="E19" s="28"/>
      <c r="F19" s="28"/>
      <c r="G19" s="28"/>
      <c r="H19" s="28"/>
      <c r="I19" s="33"/>
      <c r="J19" s="33"/>
      <c r="K19" s="33"/>
      <c r="L19" s="33"/>
      <c r="M19" s="33"/>
      <c r="N19" s="33"/>
      <c r="O19" s="33"/>
      <c r="P19" s="33"/>
      <c r="Q19" s="33"/>
      <c r="R19" s="28"/>
      <c r="S19" s="43"/>
    </row>
    <row r="20" spans="2:19" ht="15" thickBot="1" x14ac:dyDescent="0.4">
      <c r="B20" s="27" t="s">
        <v>26</v>
      </c>
      <c r="C20" s="28"/>
      <c r="D20" s="28"/>
      <c r="E20" s="28" t="s">
        <v>27</v>
      </c>
      <c r="F20" s="28"/>
      <c r="G20" s="28"/>
      <c r="H20" s="28"/>
      <c r="I20" s="32">
        <v>10000</v>
      </c>
      <c r="J20" s="33"/>
      <c r="K20" s="33" t="s">
        <v>10</v>
      </c>
      <c r="L20" s="33"/>
      <c r="M20" s="28" t="s">
        <v>28</v>
      </c>
      <c r="N20" s="28"/>
      <c r="O20" s="33" t="s">
        <v>23</v>
      </c>
      <c r="P20" s="33" t="s">
        <v>24</v>
      </c>
      <c r="Q20" s="33"/>
      <c r="R20" s="28" t="s">
        <v>29</v>
      </c>
      <c r="S20" s="43"/>
    </row>
    <row r="21" spans="2:19" ht="15" thickBot="1" x14ac:dyDescent="0.4">
      <c r="B21" s="27"/>
      <c r="C21" s="28"/>
      <c r="D21" s="28"/>
      <c r="E21" s="28"/>
      <c r="F21" s="28"/>
      <c r="G21" s="28"/>
      <c r="H21" s="28"/>
      <c r="I21" s="33"/>
      <c r="J21" s="33"/>
      <c r="K21" s="33"/>
      <c r="L21" s="33"/>
      <c r="M21" s="28"/>
      <c r="N21" s="28"/>
      <c r="O21" s="33"/>
      <c r="P21" s="33"/>
      <c r="Q21" s="33"/>
      <c r="R21" s="28"/>
      <c r="S21" s="43"/>
    </row>
    <row r="22" spans="2:19" ht="15" thickBot="1" x14ac:dyDescent="0.4">
      <c r="B22" s="27" t="s">
        <v>1</v>
      </c>
      <c r="C22" s="28"/>
      <c r="D22" s="28"/>
      <c r="E22" s="28" t="s">
        <v>30</v>
      </c>
      <c r="F22" s="28"/>
      <c r="G22" s="28"/>
      <c r="H22" s="28"/>
      <c r="I22" s="31">
        <v>8000</v>
      </c>
      <c r="J22" s="28"/>
      <c r="K22" s="28" t="s">
        <v>21</v>
      </c>
      <c r="L22" s="28"/>
      <c r="M22" s="28" t="s">
        <v>31</v>
      </c>
      <c r="N22" s="28"/>
      <c r="O22" s="33" t="s">
        <v>23</v>
      </c>
      <c r="P22" s="28" t="s">
        <v>32</v>
      </c>
      <c r="Q22" s="28"/>
      <c r="R22" s="28" t="s">
        <v>33</v>
      </c>
      <c r="S22" s="43"/>
    </row>
    <row r="23" spans="2:19" ht="15" thickBot="1" x14ac:dyDescent="0.4">
      <c r="B23" s="27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33"/>
      <c r="P23" s="28"/>
      <c r="Q23" s="28"/>
      <c r="R23" s="28"/>
      <c r="S23" s="43"/>
    </row>
    <row r="24" spans="2:19" ht="15" thickBot="1" x14ac:dyDescent="0.4">
      <c r="B24" s="27" t="s">
        <v>34</v>
      </c>
      <c r="C24" s="28"/>
      <c r="D24" s="28"/>
      <c r="E24" s="28" t="s">
        <v>35</v>
      </c>
      <c r="F24" s="28"/>
      <c r="G24" s="28"/>
      <c r="H24" s="28"/>
      <c r="I24" s="31">
        <v>7000</v>
      </c>
      <c r="J24" s="28"/>
      <c r="K24" s="33" t="s">
        <v>9</v>
      </c>
      <c r="L24" s="33"/>
      <c r="M24" s="28" t="s">
        <v>22</v>
      </c>
      <c r="N24" s="28"/>
      <c r="O24" s="33" t="s">
        <v>23</v>
      </c>
      <c r="P24" s="33" t="s">
        <v>24</v>
      </c>
      <c r="Q24" s="33"/>
      <c r="R24" s="28" t="s">
        <v>36</v>
      </c>
      <c r="S24" s="43"/>
    </row>
    <row r="25" spans="2:19" ht="15" thickBot="1" x14ac:dyDescent="0.4">
      <c r="B25" s="27"/>
      <c r="C25" s="28"/>
      <c r="D25" s="28"/>
      <c r="E25" s="28"/>
      <c r="F25" s="28"/>
      <c r="G25" s="28"/>
      <c r="H25" s="28"/>
      <c r="I25" s="28"/>
      <c r="J25" s="28"/>
      <c r="K25" s="33"/>
      <c r="L25" s="33"/>
      <c r="M25" s="28"/>
      <c r="N25" s="28"/>
      <c r="O25" s="33"/>
      <c r="P25" s="33"/>
      <c r="Q25" s="33"/>
      <c r="R25" s="28"/>
      <c r="S25" s="43"/>
    </row>
    <row r="26" spans="2:19" ht="15" thickBot="1" x14ac:dyDescent="0.4">
      <c r="B26" s="27" t="s">
        <v>5</v>
      </c>
      <c r="C26" s="28"/>
      <c r="D26" s="28"/>
      <c r="E26" s="28" t="s">
        <v>37</v>
      </c>
      <c r="F26" s="28"/>
      <c r="G26" s="28"/>
      <c r="H26" s="28"/>
      <c r="I26" s="31">
        <v>10000</v>
      </c>
      <c r="J26" s="28"/>
      <c r="K26" s="28" t="s">
        <v>10</v>
      </c>
      <c r="L26" s="28"/>
      <c r="M26" s="28" t="s">
        <v>31</v>
      </c>
      <c r="N26" s="28"/>
      <c r="O26" s="33" t="s">
        <v>38</v>
      </c>
      <c r="P26" s="28" t="s">
        <v>32</v>
      </c>
      <c r="Q26" s="28"/>
      <c r="R26" s="28" t="s">
        <v>39</v>
      </c>
      <c r="S26" s="43"/>
    </row>
    <row r="27" spans="2:19" ht="15" thickBot="1" x14ac:dyDescent="0.4">
      <c r="B27" s="27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33"/>
      <c r="P27" s="28"/>
      <c r="Q27" s="28"/>
      <c r="R27" s="28"/>
      <c r="S27" s="43"/>
    </row>
    <row r="28" spans="2:19" ht="15" thickBot="1" x14ac:dyDescent="0.4">
      <c r="B28" s="27" t="s">
        <v>40</v>
      </c>
      <c r="C28" s="28"/>
      <c r="D28" s="28"/>
      <c r="E28" s="28" t="s">
        <v>41</v>
      </c>
      <c r="F28" s="28"/>
      <c r="G28" s="28"/>
      <c r="H28" s="28"/>
      <c r="I28" s="31">
        <v>10000</v>
      </c>
      <c r="J28" s="28"/>
      <c r="K28" s="28" t="s">
        <v>42</v>
      </c>
      <c r="L28" s="28"/>
      <c r="M28" s="28" t="s">
        <v>22</v>
      </c>
      <c r="N28" s="28"/>
      <c r="O28" s="33" t="s">
        <v>38</v>
      </c>
      <c r="P28" s="28" t="s">
        <v>43</v>
      </c>
      <c r="Q28" s="28"/>
      <c r="R28" s="28" t="s">
        <v>44</v>
      </c>
      <c r="S28" s="43"/>
    </row>
    <row r="29" spans="2:19" x14ac:dyDescent="0.35">
      <c r="B29" s="29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45"/>
      <c r="P29" s="30"/>
      <c r="Q29" s="30"/>
      <c r="R29" s="30"/>
      <c r="S29" s="44"/>
    </row>
    <row r="30" spans="2:19" ht="15" thickBot="1" x14ac:dyDescent="0.4">
      <c r="B30" s="46" t="s">
        <v>2</v>
      </c>
      <c r="C30" s="46"/>
      <c r="D30" s="46"/>
      <c r="E30" s="47"/>
      <c r="F30" s="47"/>
      <c r="G30" s="47"/>
      <c r="H30" s="47"/>
      <c r="I30" s="48">
        <v>50000</v>
      </c>
      <c r="J30" s="47"/>
      <c r="K30" s="47"/>
      <c r="L30" s="47"/>
      <c r="M30" s="47"/>
      <c r="N30" s="47"/>
      <c r="O30" s="47" t="s">
        <v>38</v>
      </c>
      <c r="P30" s="47"/>
      <c r="Q30" s="47"/>
      <c r="R30" s="47"/>
      <c r="S30" s="47"/>
    </row>
    <row r="31" spans="2:19" ht="15.5" thickTop="1" thickBot="1" x14ac:dyDescent="0.4">
      <c r="B31" s="46"/>
      <c r="C31" s="46"/>
      <c r="D31" s="46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</row>
    <row r="32" spans="2:19" ht="15" thickTop="1" x14ac:dyDescent="0.35"/>
    <row r="36" spans="2:19" x14ac:dyDescent="0.35">
      <c r="D36" s="23" t="s">
        <v>45</v>
      </c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5"/>
    </row>
    <row r="37" spans="2:19" x14ac:dyDescent="0.35">
      <c r="D37" s="34" t="s">
        <v>46</v>
      </c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25"/>
    </row>
    <row r="38" spans="2:19" x14ac:dyDescent="0.35">
      <c r="D38" s="34" t="s">
        <v>92</v>
      </c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25"/>
      <c r="Q38" s="25"/>
    </row>
    <row r="39" spans="2:19" x14ac:dyDescent="0.35">
      <c r="D39" s="34" t="s">
        <v>47</v>
      </c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25"/>
      <c r="Q39" s="25"/>
    </row>
    <row r="40" spans="2:19" x14ac:dyDescent="0.35">
      <c r="D40" s="35" t="s">
        <v>151</v>
      </c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</row>
    <row r="42" spans="2:19" ht="15" thickBot="1" x14ac:dyDescent="0.4">
      <c r="B42" s="26" t="s">
        <v>4</v>
      </c>
      <c r="C42" s="26"/>
      <c r="D42" s="26"/>
      <c r="E42" s="26" t="s">
        <v>6</v>
      </c>
      <c r="F42" s="26"/>
      <c r="G42" s="26"/>
      <c r="H42" s="26"/>
      <c r="I42" s="26" t="s">
        <v>7</v>
      </c>
      <c r="J42" s="26"/>
      <c r="K42" s="26" t="s">
        <v>8</v>
      </c>
      <c r="L42" s="26"/>
      <c r="M42" s="26" t="s">
        <v>15</v>
      </c>
      <c r="N42" s="26"/>
      <c r="O42" s="26" t="s">
        <v>16</v>
      </c>
      <c r="P42" s="36" t="s">
        <v>17</v>
      </c>
      <c r="Q42" s="36"/>
      <c r="R42" s="36" t="s">
        <v>18</v>
      </c>
      <c r="S42" s="36"/>
    </row>
    <row r="43" spans="2:19" ht="15" thickBot="1" x14ac:dyDescent="0.4"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36"/>
      <c r="Q43" s="36"/>
      <c r="R43" s="36"/>
      <c r="S43" s="36"/>
    </row>
    <row r="44" spans="2:19" ht="15" customHeight="1" thickBot="1" x14ac:dyDescent="0.4">
      <c r="B44" s="37" t="s">
        <v>48</v>
      </c>
      <c r="C44" s="38"/>
      <c r="D44" s="38"/>
      <c r="E44" s="40" t="s">
        <v>49</v>
      </c>
      <c r="F44" s="40"/>
      <c r="G44" s="40"/>
      <c r="H44" s="40"/>
      <c r="I44" s="41">
        <v>5000</v>
      </c>
      <c r="J44" s="38"/>
      <c r="K44" s="38" t="s">
        <v>9</v>
      </c>
      <c r="L44" s="38"/>
      <c r="M44" s="38" t="s">
        <v>50</v>
      </c>
      <c r="N44" s="38"/>
      <c r="O44" s="38" t="s">
        <v>51</v>
      </c>
      <c r="P44" s="38" t="s">
        <v>24</v>
      </c>
      <c r="Q44" s="38"/>
      <c r="R44" s="40" t="s">
        <v>52</v>
      </c>
      <c r="S44" s="42"/>
    </row>
    <row r="45" spans="2:19" ht="15" thickBot="1" x14ac:dyDescent="0.4">
      <c r="B45" s="39"/>
      <c r="C45" s="33"/>
      <c r="D45" s="33"/>
      <c r="E45" s="28"/>
      <c r="F45" s="28"/>
      <c r="G45" s="28"/>
      <c r="H45" s="28"/>
      <c r="I45" s="33"/>
      <c r="J45" s="33"/>
      <c r="K45" s="33"/>
      <c r="L45" s="33"/>
      <c r="M45" s="33"/>
      <c r="N45" s="33"/>
      <c r="O45" s="33"/>
      <c r="P45" s="33"/>
      <c r="Q45" s="33"/>
      <c r="R45" s="28"/>
      <c r="S45" s="43"/>
    </row>
    <row r="46" spans="2:19" ht="15" customHeight="1" thickBot="1" x14ac:dyDescent="0.4">
      <c r="B46" s="27" t="s">
        <v>53</v>
      </c>
      <c r="C46" s="28"/>
      <c r="D46" s="28"/>
      <c r="E46" s="28" t="s">
        <v>54</v>
      </c>
      <c r="F46" s="28"/>
      <c r="G46" s="28"/>
      <c r="H46" s="28"/>
      <c r="I46" s="32">
        <v>10000</v>
      </c>
      <c r="J46" s="33"/>
      <c r="K46" s="33" t="s">
        <v>55</v>
      </c>
      <c r="L46" s="33"/>
      <c r="M46" s="28" t="s">
        <v>50</v>
      </c>
      <c r="N46" s="28"/>
      <c r="O46" s="33" t="s">
        <v>51</v>
      </c>
      <c r="P46" s="33" t="s">
        <v>24</v>
      </c>
      <c r="Q46" s="33"/>
      <c r="R46" s="28" t="s">
        <v>65</v>
      </c>
      <c r="S46" s="43"/>
    </row>
    <row r="47" spans="2:19" ht="15" thickBot="1" x14ac:dyDescent="0.4">
      <c r="B47" s="27"/>
      <c r="C47" s="28"/>
      <c r="D47" s="28"/>
      <c r="E47" s="28"/>
      <c r="F47" s="28"/>
      <c r="G47" s="28"/>
      <c r="H47" s="28"/>
      <c r="I47" s="33"/>
      <c r="J47" s="33"/>
      <c r="K47" s="33"/>
      <c r="L47" s="33"/>
      <c r="M47" s="28"/>
      <c r="N47" s="28"/>
      <c r="O47" s="33"/>
      <c r="P47" s="33"/>
      <c r="Q47" s="33"/>
      <c r="R47" s="28"/>
      <c r="S47" s="43"/>
    </row>
    <row r="48" spans="2:19" ht="15" customHeight="1" thickBot="1" x14ac:dyDescent="0.4">
      <c r="B48" s="27" t="s">
        <v>56</v>
      </c>
      <c r="C48" s="28"/>
      <c r="D48" s="28"/>
      <c r="E48" s="28" t="s">
        <v>59</v>
      </c>
      <c r="F48" s="28"/>
      <c r="G48" s="28"/>
      <c r="H48" s="28"/>
      <c r="I48" s="31">
        <v>2000</v>
      </c>
      <c r="J48" s="28"/>
      <c r="K48" s="28" t="s">
        <v>21</v>
      </c>
      <c r="L48" s="28"/>
      <c r="M48" s="28" t="s">
        <v>31</v>
      </c>
      <c r="N48" s="28"/>
      <c r="O48" s="33" t="s">
        <v>51</v>
      </c>
      <c r="P48" s="28" t="s">
        <v>24</v>
      </c>
      <c r="Q48" s="28"/>
      <c r="R48" s="28" t="s">
        <v>66</v>
      </c>
      <c r="S48" s="43"/>
    </row>
    <row r="49" spans="2:19" ht="15" thickBot="1" x14ac:dyDescent="0.4">
      <c r="B49" s="27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33"/>
      <c r="P49" s="28"/>
      <c r="Q49" s="28"/>
      <c r="R49" s="28"/>
      <c r="S49" s="43"/>
    </row>
    <row r="50" spans="2:19" ht="15" thickBot="1" x14ac:dyDescent="0.4">
      <c r="B50" s="27" t="s">
        <v>57</v>
      </c>
      <c r="C50" s="28"/>
      <c r="D50" s="28"/>
      <c r="E50" s="28" t="s">
        <v>60</v>
      </c>
      <c r="F50" s="28"/>
      <c r="G50" s="28"/>
      <c r="H50" s="28"/>
      <c r="I50" s="31">
        <v>20000</v>
      </c>
      <c r="J50" s="28"/>
      <c r="K50" s="33" t="s">
        <v>9</v>
      </c>
      <c r="L50" s="33"/>
      <c r="M50" s="28" t="s">
        <v>22</v>
      </c>
      <c r="N50" s="28"/>
      <c r="O50" s="33" t="s">
        <v>23</v>
      </c>
      <c r="P50" s="33" t="s">
        <v>24</v>
      </c>
      <c r="Q50" s="33"/>
      <c r="R50" s="28" t="s">
        <v>67</v>
      </c>
      <c r="S50" s="43"/>
    </row>
    <row r="51" spans="2:19" ht="15" thickBot="1" x14ac:dyDescent="0.4">
      <c r="B51" s="27"/>
      <c r="C51" s="28"/>
      <c r="D51" s="28"/>
      <c r="E51" s="28"/>
      <c r="F51" s="28"/>
      <c r="G51" s="28"/>
      <c r="H51" s="28"/>
      <c r="I51" s="28"/>
      <c r="J51" s="28"/>
      <c r="K51" s="33"/>
      <c r="L51" s="33"/>
      <c r="M51" s="28"/>
      <c r="N51" s="28"/>
      <c r="O51" s="33"/>
      <c r="P51" s="33"/>
      <c r="Q51" s="33"/>
      <c r="R51" s="28"/>
      <c r="S51" s="43"/>
    </row>
    <row r="52" spans="2:19" ht="15" thickBot="1" x14ac:dyDescent="0.4">
      <c r="B52" s="27" t="s">
        <v>58</v>
      </c>
      <c r="C52" s="28"/>
      <c r="D52" s="28"/>
      <c r="E52" s="28" t="s">
        <v>61</v>
      </c>
      <c r="F52" s="28"/>
      <c r="G52" s="28"/>
      <c r="H52" s="28"/>
      <c r="I52" s="31">
        <v>15000</v>
      </c>
      <c r="J52" s="28"/>
      <c r="K52" s="28" t="s">
        <v>10</v>
      </c>
      <c r="L52" s="28"/>
      <c r="M52" s="28" t="s">
        <v>31</v>
      </c>
      <c r="N52" s="28"/>
      <c r="O52" s="33" t="s">
        <v>63</v>
      </c>
      <c r="P52" s="28" t="s">
        <v>24</v>
      </c>
      <c r="Q52" s="28"/>
      <c r="R52" s="28" t="s">
        <v>68</v>
      </c>
      <c r="S52" s="43"/>
    </row>
    <row r="53" spans="2:19" ht="15" thickBot="1" x14ac:dyDescent="0.4">
      <c r="B53" s="27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33"/>
      <c r="P53" s="28"/>
      <c r="Q53" s="28"/>
      <c r="R53" s="28"/>
      <c r="S53" s="43"/>
    </row>
    <row r="54" spans="2:19" ht="15" thickBot="1" x14ac:dyDescent="0.4">
      <c r="B54" s="27" t="s">
        <v>40</v>
      </c>
      <c r="C54" s="28"/>
      <c r="D54" s="28"/>
      <c r="E54" s="28" t="s">
        <v>62</v>
      </c>
      <c r="F54" s="28"/>
      <c r="G54" s="28"/>
      <c r="H54" s="28"/>
      <c r="I54" s="31">
        <v>3000</v>
      </c>
      <c r="J54" s="28"/>
      <c r="K54" s="28" t="s">
        <v>42</v>
      </c>
      <c r="L54" s="28"/>
      <c r="M54" s="28" t="s">
        <v>22</v>
      </c>
      <c r="N54" s="28"/>
      <c r="O54" s="33" t="s">
        <v>51</v>
      </c>
      <c r="P54" s="28" t="s">
        <v>64</v>
      </c>
      <c r="Q54" s="28"/>
      <c r="R54" s="28" t="s">
        <v>69</v>
      </c>
      <c r="S54" s="43"/>
    </row>
    <row r="55" spans="2:19" x14ac:dyDescent="0.35">
      <c r="B55" s="29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45"/>
      <c r="P55" s="30"/>
      <c r="Q55" s="30"/>
      <c r="R55" s="30"/>
      <c r="S55" s="44"/>
    </row>
    <row r="56" spans="2:19" ht="15" thickBot="1" x14ac:dyDescent="0.4">
      <c r="B56" s="46" t="s">
        <v>2</v>
      </c>
      <c r="C56" s="46"/>
      <c r="D56" s="46"/>
      <c r="E56" s="47"/>
      <c r="F56" s="47"/>
      <c r="G56" s="47"/>
      <c r="H56" s="47"/>
      <c r="I56" s="48">
        <v>100000</v>
      </c>
      <c r="J56" s="47"/>
      <c r="K56" s="47"/>
      <c r="L56" s="47"/>
      <c r="M56" s="47"/>
      <c r="N56" s="47"/>
      <c r="O56" s="47" t="s">
        <v>63</v>
      </c>
      <c r="P56" s="47"/>
      <c r="Q56" s="47"/>
      <c r="R56" s="47"/>
      <c r="S56" s="47"/>
    </row>
    <row r="57" spans="2:19" ht="15.5" thickTop="1" thickBot="1" x14ac:dyDescent="0.4">
      <c r="B57" s="46"/>
      <c r="C57" s="46"/>
      <c r="D57" s="46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</row>
    <row r="58" spans="2:19" ht="15" thickTop="1" x14ac:dyDescent="0.35"/>
    <row r="62" spans="2:19" x14ac:dyDescent="0.35">
      <c r="D62" s="23" t="s">
        <v>3</v>
      </c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5"/>
    </row>
    <row r="63" spans="2:19" x14ac:dyDescent="0.35">
      <c r="D63" s="34" t="s">
        <v>70</v>
      </c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25"/>
    </row>
    <row r="64" spans="2:19" x14ac:dyDescent="0.35">
      <c r="D64" s="34" t="s">
        <v>91</v>
      </c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25"/>
      <c r="Q64" s="25"/>
    </row>
    <row r="65" spans="2:19" x14ac:dyDescent="0.35">
      <c r="D65" s="34" t="s">
        <v>71</v>
      </c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25"/>
      <c r="Q65" s="25"/>
    </row>
    <row r="66" spans="2:19" x14ac:dyDescent="0.35">
      <c r="D66" s="35" t="s">
        <v>152</v>
      </c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</row>
    <row r="68" spans="2:19" ht="15" thickBot="1" x14ac:dyDescent="0.4">
      <c r="B68" s="26" t="s">
        <v>4</v>
      </c>
      <c r="C68" s="26"/>
      <c r="D68" s="26"/>
      <c r="E68" s="26" t="s">
        <v>6</v>
      </c>
      <c r="F68" s="26"/>
      <c r="G68" s="26"/>
      <c r="H68" s="26"/>
      <c r="I68" s="26" t="s">
        <v>7</v>
      </c>
      <c r="J68" s="26"/>
      <c r="K68" s="26" t="s">
        <v>8</v>
      </c>
      <c r="L68" s="26"/>
      <c r="M68" s="26" t="s">
        <v>15</v>
      </c>
      <c r="N68" s="26"/>
      <c r="O68" s="26" t="s">
        <v>16</v>
      </c>
      <c r="P68" s="36" t="s">
        <v>17</v>
      </c>
      <c r="Q68" s="36"/>
      <c r="R68" s="36" t="s">
        <v>18</v>
      </c>
      <c r="S68" s="36"/>
    </row>
    <row r="69" spans="2:19" ht="15" thickBot="1" x14ac:dyDescent="0.4"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36"/>
      <c r="Q69" s="36"/>
      <c r="R69" s="36"/>
      <c r="S69" s="36"/>
    </row>
    <row r="70" spans="2:19" ht="15" thickBot="1" x14ac:dyDescent="0.4">
      <c r="B70" s="37" t="s">
        <v>72</v>
      </c>
      <c r="C70" s="38"/>
      <c r="D70" s="38"/>
      <c r="E70" s="40" t="s">
        <v>75</v>
      </c>
      <c r="F70" s="40"/>
      <c r="G70" s="40"/>
      <c r="H70" s="40"/>
      <c r="I70" s="41">
        <v>20000</v>
      </c>
      <c r="J70" s="38"/>
      <c r="K70" s="38" t="s">
        <v>9</v>
      </c>
      <c r="L70" s="38"/>
      <c r="M70" s="38" t="s">
        <v>79</v>
      </c>
      <c r="N70" s="38"/>
      <c r="O70" s="38" t="s">
        <v>82</v>
      </c>
      <c r="P70" s="38" t="s">
        <v>83</v>
      </c>
      <c r="Q70" s="38"/>
      <c r="R70" s="40" t="s">
        <v>84</v>
      </c>
      <c r="S70" s="42"/>
    </row>
    <row r="71" spans="2:19" ht="15" thickBot="1" x14ac:dyDescent="0.4">
      <c r="B71" s="39"/>
      <c r="C71" s="33"/>
      <c r="D71" s="33"/>
      <c r="E71" s="28"/>
      <c r="F71" s="28"/>
      <c r="G71" s="28"/>
      <c r="H71" s="28"/>
      <c r="I71" s="33"/>
      <c r="J71" s="33"/>
      <c r="K71" s="33"/>
      <c r="L71" s="33"/>
      <c r="M71" s="33"/>
      <c r="N71" s="33"/>
      <c r="O71" s="33"/>
      <c r="P71" s="33"/>
      <c r="Q71" s="33"/>
      <c r="R71" s="28"/>
      <c r="S71" s="43"/>
    </row>
    <row r="72" spans="2:19" ht="15" thickBot="1" x14ac:dyDescent="0.4">
      <c r="B72" s="27" t="s">
        <v>73</v>
      </c>
      <c r="C72" s="28"/>
      <c r="D72" s="28"/>
      <c r="E72" s="28" t="s">
        <v>76</v>
      </c>
      <c r="F72" s="28"/>
      <c r="G72" s="28"/>
      <c r="H72" s="28"/>
      <c r="I72" s="32">
        <v>25000</v>
      </c>
      <c r="J72" s="33"/>
      <c r="K72" s="33" t="s">
        <v>55</v>
      </c>
      <c r="L72" s="33"/>
      <c r="M72" s="28" t="s">
        <v>80</v>
      </c>
      <c r="N72" s="28"/>
      <c r="O72" s="33" t="s">
        <v>82</v>
      </c>
      <c r="P72" s="33" t="s">
        <v>24</v>
      </c>
      <c r="Q72" s="33"/>
      <c r="R72" s="28" t="s">
        <v>85</v>
      </c>
      <c r="S72" s="43"/>
    </row>
    <row r="73" spans="2:19" ht="15" thickBot="1" x14ac:dyDescent="0.4">
      <c r="B73" s="27"/>
      <c r="C73" s="28"/>
      <c r="D73" s="28"/>
      <c r="E73" s="28"/>
      <c r="F73" s="28"/>
      <c r="G73" s="28"/>
      <c r="H73" s="28"/>
      <c r="I73" s="33"/>
      <c r="J73" s="33"/>
      <c r="K73" s="33"/>
      <c r="L73" s="33"/>
      <c r="M73" s="28"/>
      <c r="N73" s="28"/>
      <c r="O73" s="33"/>
      <c r="P73" s="33"/>
      <c r="Q73" s="33"/>
      <c r="R73" s="28"/>
      <c r="S73" s="43"/>
    </row>
    <row r="74" spans="2:19" ht="15" thickBot="1" x14ac:dyDescent="0.4">
      <c r="B74" s="27" t="s">
        <v>113</v>
      </c>
      <c r="C74" s="28"/>
      <c r="D74" s="28"/>
      <c r="E74" s="28" t="s">
        <v>77</v>
      </c>
      <c r="F74" s="28"/>
      <c r="G74" s="28"/>
      <c r="H74" s="28"/>
      <c r="I74" s="31">
        <v>80000</v>
      </c>
      <c r="J74" s="28"/>
      <c r="K74" s="28" t="s">
        <v>10</v>
      </c>
      <c r="L74" s="28"/>
      <c r="M74" s="28" t="s">
        <v>80</v>
      </c>
      <c r="N74" s="28"/>
      <c r="O74" s="33" t="s">
        <v>82</v>
      </c>
      <c r="P74" s="28" t="s">
        <v>24</v>
      </c>
      <c r="Q74" s="28"/>
      <c r="R74" s="28" t="s">
        <v>86</v>
      </c>
      <c r="S74" s="43"/>
    </row>
    <row r="75" spans="2:19" ht="15" thickBot="1" x14ac:dyDescent="0.4">
      <c r="B75" s="27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33"/>
      <c r="P75" s="28"/>
      <c r="Q75" s="28"/>
      <c r="R75" s="28"/>
      <c r="S75" s="43"/>
    </row>
    <row r="76" spans="2:19" ht="15" thickBot="1" x14ac:dyDescent="0.4">
      <c r="B76" s="27" t="s">
        <v>74</v>
      </c>
      <c r="C76" s="28"/>
      <c r="D76" s="28"/>
      <c r="E76" s="28" t="s">
        <v>78</v>
      </c>
      <c r="F76" s="28"/>
      <c r="G76" s="28"/>
      <c r="H76" s="28"/>
      <c r="I76" s="31">
        <v>25000</v>
      </c>
      <c r="J76" s="28"/>
      <c r="K76" s="33" t="s">
        <v>10</v>
      </c>
      <c r="L76" s="33"/>
      <c r="M76" s="28" t="s">
        <v>81</v>
      </c>
      <c r="N76" s="28"/>
      <c r="O76" s="33" t="s">
        <v>82</v>
      </c>
      <c r="P76" s="33" t="s">
        <v>24</v>
      </c>
      <c r="Q76" s="33"/>
      <c r="R76" s="28" t="s">
        <v>87</v>
      </c>
      <c r="S76" s="43"/>
    </row>
    <row r="77" spans="2:19" ht="15" thickBot="1" x14ac:dyDescent="0.4">
      <c r="B77" s="27"/>
      <c r="C77" s="28"/>
      <c r="D77" s="28"/>
      <c r="E77" s="28"/>
      <c r="F77" s="28"/>
      <c r="G77" s="28"/>
      <c r="H77" s="28"/>
      <c r="I77" s="28"/>
      <c r="J77" s="28"/>
      <c r="K77" s="33"/>
      <c r="L77" s="33"/>
      <c r="M77" s="28"/>
      <c r="N77" s="28"/>
      <c r="O77" s="33"/>
      <c r="P77" s="33"/>
      <c r="Q77" s="33"/>
      <c r="R77" s="28"/>
      <c r="S77" s="43"/>
    </row>
    <row r="78" spans="2:19" ht="15" thickBot="1" x14ac:dyDescent="0.4">
      <c r="B78" s="27"/>
      <c r="C78" s="28"/>
      <c r="D78" s="28"/>
      <c r="E78" s="28"/>
      <c r="F78" s="28"/>
      <c r="G78" s="28"/>
      <c r="H78" s="28"/>
      <c r="I78" s="31"/>
      <c r="J78" s="28"/>
      <c r="K78" s="28"/>
      <c r="L78" s="28"/>
      <c r="M78" s="28"/>
      <c r="N78" s="28"/>
      <c r="O78" s="33"/>
      <c r="P78" s="28"/>
      <c r="Q78" s="28"/>
      <c r="R78" s="28"/>
      <c r="S78" s="43"/>
    </row>
    <row r="79" spans="2:19" ht="15" thickBot="1" x14ac:dyDescent="0.4">
      <c r="B79" s="27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33"/>
      <c r="P79" s="28"/>
      <c r="Q79" s="28"/>
      <c r="R79" s="28"/>
      <c r="S79" s="43"/>
    </row>
    <row r="80" spans="2:19" ht="15" thickBot="1" x14ac:dyDescent="0.4">
      <c r="B80" s="27"/>
      <c r="C80" s="28"/>
      <c r="D80" s="28"/>
      <c r="E80" s="28"/>
      <c r="F80" s="28"/>
      <c r="G80" s="28"/>
      <c r="H80" s="28"/>
      <c r="I80" s="31"/>
      <c r="J80" s="28"/>
      <c r="K80" s="28"/>
      <c r="L80" s="28"/>
      <c r="M80" s="28"/>
      <c r="N80" s="28"/>
      <c r="O80" s="33"/>
      <c r="P80" s="28"/>
      <c r="Q80" s="28"/>
      <c r="R80" s="28"/>
      <c r="S80" s="43"/>
    </row>
    <row r="81" spans="2:19" x14ac:dyDescent="0.35">
      <c r="B81" s="29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45"/>
      <c r="P81" s="30"/>
      <c r="Q81" s="30"/>
      <c r="R81" s="30"/>
      <c r="S81" s="44"/>
    </row>
    <row r="82" spans="2:19" ht="15" thickBot="1" x14ac:dyDescent="0.4">
      <c r="B82" s="46" t="s">
        <v>2</v>
      </c>
      <c r="C82" s="46"/>
      <c r="D82" s="46"/>
      <c r="E82" s="47"/>
      <c r="F82" s="47"/>
      <c r="G82" s="47"/>
      <c r="H82" s="47"/>
      <c r="I82" s="48">
        <v>50000</v>
      </c>
      <c r="J82" s="47"/>
      <c r="K82" s="47"/>
      <c r="L82" s="47"/>
      <c r="M82" s="47"/>
      <c r="N82" s="47"/>
      <c r="O82" s="47" t="s">
        <v>38</v>
      </c>
      <c r="P82" s="47"/>
      <c r="Q82" s="47"/>
      <c r="R82" s="47"/>
      <c r="S82" s="47"/>
    </row>
    <row r="83" spans="2:19" ht="15.5" thickTop="1" thickBot="1" x14ac:dyDescent="0.4">
      <c r="B83" s="46"/>
      <c r="C83" s="46"/>
      <c r="D83" s="46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</row>
    <row r="84" spans="2:19" ht="15" thickTop="1" x14ac:dyDescent="0.35"/>
    <row r="88" spans="2:19" x14ac:dyDescent="0.35">
      <c r="D88" s="23" t="s">
        <v>88</v>
      </c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5"/>
    </row>
    <row r="89" spans="2:19" x14ac:dyDescent="0.35">
      <c r="D89" s="34" t="s">
        <v>89</v>
      </c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25"/>
    </row>
    <row r="90" spans="2:19" x14ac:dyDescent="0.35">
      <c r="D90" s="34" t="s">
        <v>90</v>
      </c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25"/>
      <c r="Q90" s="25"/>
    </row>
    <row r="91" spans="2:19" x14ac:dyDescent="0.35">
      <c r="D91" s="34" t="s">
        <v>94</v>
      </c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25"/>
      <c r="Q91" s="25"/>
    </row>
    <row r="92" spans="2:19" x14ac:dyDescent="0.35">
      <c r="D92" s="35" t="s">
        <v>153</v>
      </c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</row>
    <row r="94" spans="2:19" ht="15" thickBot="1" x14ac:dyDescent="0.4">
      <c r="B94" s="26" t="s">
        <v>4</v>
      </c>
      <c r="C94" s="26"/>
      <c r="D94" s="26"/>
      <c r="E94" s="26" t="s">
        <v>6</v>
      </c>
      <c r="F94" s="26"/>
      <c r="G94" s="26"/>
      <c r="H94" s="26"/>
      <c r="I94" s="26" t="s">
        <v>7</v>
      </c>
      <c r="J94" s="26"/>
      <c r="K94" s="26" t="s">
        <v>8</v>
      </c>
      <c r="L94" s="26"/>
      <c r="M94" s="26" t="s">
        <v>15</v>
      </c>
      <c r="N94" s="26"/>
      <c r="O94" s="26" t="s">
        <v>16</v>
      </c>
      <c r="P94" s="36" t="s">
        <v>17</v>
      </c>
      <c r="Q94" s="36"/>
      <c r="R94" s="36" t="s">
        <v>18</v>
      </c>
      <c r="S94" s="36"/>
    </row>
    <row r="95" spans="2:19" ht="15" thickBot="1" x14ac:dyDescent="0.4"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36"/>
      <c r="Q95" s="36"/>
      <c r="R95" s="36"/>
      <c r="S95" s="36"/>
    </row>
    <row r="96" spans="2:19" ht="15" thickBot="1" x14ac:dyDescent="0.4">
      <c r="B96" s="37" t="s">
        <v>95</v>
      </c>
      <c r="C96" s="38"/>
      <c r="D96" s="38"/>
      <c r="E96" s="40" t="s">
        <v>100</v>
      </c>
      <c r="F96" s="40"/>
      <c r="G96" s="40"/>
      <c r="H96" s="40"/>
      <c r="I96" s="41">
        <v>150000</v>
      </c>
      <c r="J96" s="38"/>
      <c r="K96" s="38" t="s">
        <v>10</v>
      </c>
      <c r="L96" s="38"/>
      <c r="M96" s="38" t="s">
        <v>80</v>
      </c>
      <c r="N96" s="38"/>
      <c r="O96" s="38" t="s">
        <v>105</v>
      </c>
      <c r="P96" s="40" t="s">
        <v>106</v>
      </c>
      <c r="Q96" s="40"/>
      <c r="R96" s="40" t="s">
        <v>108</v>
      </c>
      <c r="S96" s="42"/>
    </row>
    <row r="97" spans="2:19" ht="15" thickBot="1" x14ac:dyDescent="0.4">
      <c r="B97" s="39"/>
      <c r="C97" s="33"/>
      <c r="D97" s="33"/>
      <c r="E97" s="28"/>
      <c r="F97" s="28"/>
      <c r="G97" s="28"/>
      <c r="H97" s="28"/>
      <c r="I97" s="33"/>
      <c r="J97" s="33"/>
      <c r="K97" s="33"/>
      <c r="L97" s="33"/>
      <c r="M97" s="33"/>
      <c r="N97" s="33"/>
      <c r="O97" s="33"/>
      <c r="P97" s="28"/>
      <c r="Q97" s="28"/>
      <c r="R97" s="28"/>
      <c r="S97" s="43"/>
    </row>
    <row r="98" spans="2:19" ht="15" thickBot="1" x14ac:dyDescent="0.4">
      <c r="B98" s="27" t="s">
        <v>96</v>
      </c>
      <c r="C98" s="28"/>
      <c r="D98" s="28"/>
      <c r="E98" s="28" t="s">
        <v>101</v>
      </c>
      <c r="F98" s="28"/>
      <c r="G98" s="28"/>
      <c r="H98" s="28"/>
      <c r="I98" s="32">
        <v>100000</v>
      </c>
      <c r="J98" s="33"/>
      <c r="K98" s="33" t="s">
        <v>10</v>
      </c>
      <c r="L98" s="33"/>
      <c r="M98" s="28" t="s">
        <v>79</v>
      </c>
      <c r="N98" s="28"/>
      <c r="O98" s="33" t="s">
        <v>105</v>
      </c>
      <c r="P98" s="28" t="s">
        <v>106</v>
      </c>
      <c r="Q98" s="28"/>
      <c r="R98" s="28" t="s">
        <v>109</v>
      </c>
      <c r="S98" s="43"/>
    </row>
    <row r="99" spans="2:19" ht="15" thickBot="1" x14ac:dyDescent="0.4">
      <c r="B99" s="27"/>
      <c r="C99" s="28"/>
      <c r="D99" s="28"/>
      <c r="E99" s="28"/>
      <c r="F99" s="28"/>
      <c r="G99" s="28"/>
      <c r="H99" s="28"/>
      <c r="I99" s="33"/>
      <c r="J99" s="33"/>
      <c r="K99" s="33"/>
      <c r="L99" s="33"/>
      <c r="M99" s="28"/>
      <c r="N99" s="28"/>
      <c r="O99" s="33"/>
      <c r="P99" s="28"/>
      <c r="Q99" s="28"/>
      <c r="R99" s="28"/>
      <c r="S99" s="43"/>
    </row>
    <row r="100" spans="2:19" ht="15" thickBot="1" x14ac:dyDescent="0.4">
      <c r="B100" s="27" t="s">
        <v>97</v>
      </c>
      <c r="C100" s="28"/>
      <c r="D100" s="28"/>
      <c r="E100" s="28" t="s">
        <v>102</v>
      </c>
      <c r="F100" s="28"/>
      <c r="G100" s="28"/>
      <c r="H100" s="28"/>
      <c r="I100" s="31">
        <v>50000</v>
      </c>
      <c r="J100" s="28"/>
      <c r="K100" s="28" t="s">
        <v>10</v>
      </c>
      <c r="L100" s="28"/>
      <c r="M100" s="28" t="s">
        <v>104</v>
      </c>
      <c r="N100" s="28"/>
      <c r="O100" s="33" t="s">
        <v>105</v>
      </c>
      <c r="P100" s="28" t="s">
        <v>106</v>
      </c>
      <c r="Q100" s="28"/>
      <c r="R100" s="28" t="s">
        <v>110</v>
      </c>
      <c r="S100" s="43"/>
    </row>
    <row r="101" spans="2:19" ht="15" thickBot="1" x14ac:dyDescent="0.4">
      <c r="B101" s="27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33"/>
      <c r="P101" s="28"/>
      <c r="Q101" s="28"/>
      <c r="R101" s="28"/>
      <c r="S101" s="43"/>
    </row>
    <row r="102" spans="2:19" ht="15" thickBot="1" x14ac:dyDescent="0.4">
      <c r="B102" s="27" t="s">
        <v>98</v>
      </c>
      <c r="C102" s="28"/>
      <c r="D102" s="28"/>
      <c r="E102" s="28" t="s">
        <v>114</v>
      </c>
      <c r="F102" s="28"/>
      <c r="G102" s="28"/>
      <c r="H102" s="28"/>
      <c r="I102" s="31">
        <v>50000</v>
      </c>
      <c r="J102" s="28"/>
      <c r="K102" s="33" t="s">
        <v>55</v>
      </c>
      <c r="L102" s="33"/>
      <c r="M102" s="28">
        <v>0</v>
      </c>
      <c r="N102" s="28"/>
      <c r="O102" s="33" t="s">
        <v>105</v>
      </c>
      <c r="P102" s="28" t="s">
        <v>107</v>
      </c>
      <c r="Q102" s="28"/>
      <c r="R102" s="28" t="s">
        <v>111</v>
      </c>
      <c r="S102" s="43"/>
    </row>
    <row r="103" spans="2:19" ht="15" thickBot="1" x14ac:dyDescent="0.4">
      <c r="B103" s="27"/>
      <c r="C103" s="28"/>
      <c r="D103" s="28"/>
      <c r="E103" s="28"/>
      <c r="F103" s="28"/>
      <c r="G103" s="28"/>
      <c r="H103" s="28"/>
      <c r="I103" s="28"/>
      <c r="J103" s="28"/>
      <c r="K103" s="33"/>
      <c r="L103" s="33"/>
      <c r="M103" s="28"/>
      <c r="N103" s="28"/>
      <c r="O103" s="33"/>
      <c r="P103" s="28"/>
      <c r="Q103" s="28"/>
      <c r="R103" s="28"/>
      <c r="S103" s="43"/>
    </row>
    <row r="104" spans="2:19" ht="15" thickBot="1" x14ac:dyDescent="0.4">
      <c r="B104" s="27" t="s">
        <v>99</v>
      </c>
      <c r="C104" s="28"/>
      <c r="D104" s="28"/>
      <c r="E104" s="28" t="s">
        <v>103</v>
      </c>
      <c r="F104" s="28"/>
      <c r="G104" s="28"/>
      <c r="H104" s="28"/>
      <c r="I104" s="31">
        <v>20000</v>
      </c>
      <c r="J104" s="28"/>
      <c r="K104" s="28" t="s">
        <v>55</v>
      </c>
      <c r="L104" s="28"/>
      <c r="M104" s="28">
        <v>0</v>
      </c>
      <c r="N104" s="28"/>
      <c r="O104" s="33" t="s">
        <v>105</v>
      </c>
      <c r="P104" s="28" t="s">
        <v>24</v>
      </c>
      <c r="Q104" s="28"/>
      <c r="R104" s="28" t="s">
        <v>112</v>
      </c>
      <c r="S104" s="43"/>
    </row>
    <row r="105" spans="2:19" ht="15" thickBot="1" x14ac:dyDescent="0.4">
      <c r="B105" s="27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33"/>
      <c r="P105" s="28"/>
      <c r="Q105" s="28"/>
      <c r="R105" s="28"/>
      <c r="S105" s="43"/>
    </row>
    <row r="106" spans="2:19" ht="15" thickBot="1" x14ac:dyDescent="0.4">
      <c r="B106" s="27" t="s">
        <v>40</v>
      </c>
      <c r="C106" s="28"/>
      <c r="D106" s="28"/>
      <c r="E106" s="28" t="s">
        <v>41</v>
      </c>
      <c r="F106" s="28"/>
      <c r="G106" s="28"/>
      <c r="H106" s="28"/>
      <c r="I106" s="31">
        <v>10000</v>
      </c>
      <c r="J106" s="28"/>
      <c r="K106" s="28" t="s">
        <v>42</v>
      </c>
      <c r="L106" s="28"/>
      <c r="M106" s="28" t="s">
        <v>22</v>
      </c>
      <c r="N106" s="28"/>
      <c r="O106" s="33" t="s">
        <v>38</v>
      </c>
      <c r="P106" s="28" t="s">
        <v>43</v>
      </c>
      <c r="Q106" s="28"/>
      <c r="R106" s="28" t="s">
        <v>44</v>
      </c>
      <c r="S106" s="43"/>
    </row>
    <row r="107" spans="2:19" x14ac:dyDescent="0.35">
      <c r="B107" s="29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45"/>
      <c r="P107" s="30"/>
      <c r="Q107" s="30"/>
      <c r="R107" s="30"/>
      <c r="S107" s="44"/>
    </row>
    <row r="108" spans="2:19" ht="15" thickBot="1" x14ac:dyDescent="0.4">
      <c r="B108" s="46" t="s">
        <v>2</v>
      </c>
      <c r="C108" s="46"/>
      <c r="D108" s="46"/>
      <c r="E108" s="47"/>
      <c r="F108" s="47"/>
      <c r="G108" s="47"/>
      <c r="H108" s="47"/>
      <c r="I108" s="48">
        <v>400000</v>
      </c>
      <c r="J108" s="47"/>
      <c r="K108" s="47"/>
      <c r="L108" s="47"/>
      <c r="M108" s="47"/>
      <c r="N108" s="47"/>
      <c r="O108" s="47" t="s">
        <v>38</v>
      </c>
      <c r="P108" s="47"/>
      <c r="Q108" s="47"/>
      <c r="R108" s="47"/>
      <c r="S108" s="47"/>
    </row>
    <row r="109" spans="2:19" ht="15.5" thickTop="1" thickBot="1" x14ac:dyDescent="0.4">
      <c r="B109" s="46"/>
      <c r="C109" s="46"/>
      <c r="D109" s="46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</row>
    <row r="110" spans="2:19" ht="15" thickTop="1" x14ac:dyDescent="0.35"/>
    <row r="114" spans="2:19" x14ac:dyDescent="0.35">
      <c r="D114" s="23" t="s">
        <v>115</v>
      </c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5"/>
    </row>
    <row r="115" spans="2:19" x14ac:dyDescent="0.35">
      <c r="D115" s="34" t="s">
        <v>116</v>
      </c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25"/>
    </row>
    <row r="116" spans="2:19" x14ac:dyDescent="0.35">
      <c r="D116" s="34" t="s">
        <v>93</v>
      </c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25"/>
      <c r="Q116" s="25"/>
    </row>
    <row r="117" spans="2:19" x14ac:dyDescent="0.35">
      <c r="D117" s="34" t="s">
        <v>47</v>
      </c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25"/>
      <c r="Q117" s="25"/>
    </row>
    <row r="118" spans="2:19" x14ac:dyDescent="0.35">
      <c r="D118" s="35" t="s">
        <v>154</v>
      </c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</row>
    <row r="120" spans="2:19" ht="15" thickBot="1" x14ac:dyDescent="0.4">
      <c r="B120" s="26" t="s">
        <v>4</v>
      </c>
      <c r="C120" s="26"/>
      <c r="D120" s="26"/>
      <c r="E120" s="26" t="s">
        <v>6</v>
      </c>
      <c r="F120" s="26"/>
      <c r="G120" s="26"/>
      <c r="H120" s="26"/>
      <c r="I120" s="26" t="s">
        <v>7</v>
      </c>
      <c r="J120" s="26"/>
      <c r="K120" s="26" t="s">
        <v>8</v>
      </c>
      <c r="L120" s="26"/>
      <c r="M120" s="26" t="s">
        <v>15</v>
      </c>
      <c r="N120" s="26"/>
      <c r="O120" s="26" t="s">
        <v>16</v>
      </c>
      <c r="P120" s="36" t="s">
        <v>17</v>
      </c>
      <c r="Q120" s="36"/>
      <c r="R120" s="36" t="s">
        <v>18</v>
      </c>
      <c r="S120" s="36"/>
    </row>
    <row r="121" spans="2:19" ht="15" thickBot="1" x14ac:dyDescent="0.4"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36"/>
      <c r="Q121" s="36"/>
      <c r="R121" s="36"/>
      <c r="S121" s="36"/>
    </row>
    <row r="122" spans="2:19" ht="15" thickBot="1" x14ac:dyDescent="0.4">
      <c r="B122" s="37" t="s">
        <v>117</v>
      </c>
      <c r="C122" s="38"/>
      <c r="D122" s="38"/>
      <c r="E122" s="40" t="s">
        <v>120</v>
      </c>
      <c r="F122" s="40"/>
      <c r="G122" s="40"/>
      <c r="H122" s="40"/>
      <c r="I122" s="41">
        <v>30000</v>
      </c>
      <c r="J122" s="38"/>
      <c r="K122" s="38" t="s">
        <v>21</v>
      </c>
      <c r="L122" s="38"/>
      <c r="M122" s="38" t="s">
        <v>123</v>
      </c>
      <c r="N122" s="38"/>
      <c r="O122" s="38" t="s">
        <v>38</v>
      </c>
      <c r="P122" s="38"/>
      <c r="Q122" s="38"/>
      <c r="R122" s="40"/>
      <c r="S122" s="42"/>
    </row>
    <row r="123" spans="2:19" ht="15" thickBot="1" x14ac:dyDescent="0.4">
      <c r="B123" s="39"/>
      <c r="C123" s="33"/>
      <c r="D123" s="33"/>
      <c r="E123" s="28"/>
      <c r="F123" s="28"/>
      <c r="G123" s="28"/>
      <c r="H123" s="28"/>
      <c r="I123" s="33"/>
      <c r="J123" s="33"/>
      <c r="K123" s="33"/>
      <c r="L123" s="33"/>
      <c r="M123" s="33"/>
      <c r="N123" s="33"/>
      <c r="O123" s="33"/>
      <c r="P123" s="33"/>
      <c r="Q123" s="33"/>
      <c r="R123" s="28"/>
      <c r="S123" s="43"/>
    </row>
    <row r="124" spans="2:19" ht="15" thickBot="1" x14ac:dyDescent="0.4">
      <c r="B124" s="27" t="s">
        <v>118</v>
      </c>
      <c r="C124" s="28"/>
      <c r="D124" s="28"/>
      <c r="E124" s="28" t="s">
        <v>121</v>
      </c>
      <c r="F124" s="28"/>
      <c r="G124" s="28"/>
      <c r="H124" s="28"/>
      <c r="I124" s="32">
        <v>20000</v>
      </c>
      <c r="J124" s="33"/>
      <c r="K124" s="33" t="s">
        <v>9</v>
      </c>
      <c r="L124" s="33"/>
      <c r="M124" s="28" t="s">
        <v>124</v>
      </c>
      <c r="N124" s="28"/>
      <c r="O124" s="33" t="s">
        <v>38</v>
      </c>
      <c r="P124" s="33"/>
      <c r="Q124" s="33"/>
      <c r="R124" s="28"/>
      <c r="S124" s="43"/>
    </row>
    <row r="125" spans="2:19" ht="15" thickBot="1" x14ac:dyDescent="0.4">
      <c r="B125" s="27"/>
      <c r="C125" s="28"/>
      <c r="D125" s="28"/>
      <c r="E125" s="28"/>
      <c r="F125" s="28"/>
      <c r="G125" s="28"/>
      <c r="H125" s="28"/>
      <c r="I125" s="33"/>
      <c r="J125" s="33"/>
      <c r="K125" s="33"/>
      <c r="L125" s="33"/>
      <c r="M125" s="28"/>
      <c r="N125" s="28"/>
      <c r="O125" s="33"/>
      <c r="P125" s="33"/>
      <c r="Q125" s="33"/>
      <c r="R125" s="28"/>
      <c r="S125" s="43"/>
    </row>
    <row r="126" spans="2:19" ht="15" thickBot="1" x14ac:dyDescent="0.4">
      <c r="B126" s="27" t="s">
        <v>119</v>
      </c>
      <c r="C126" s="28"/>
      <c r="D126" s="28"/>
      <c r="E126" s="28" t="s">
        <v>122</v>
      </c>
      <c r="F126" s="28"/>
      <c r="G126" s="28"/>
      <c r="H126" s="28"/>
      <c r="I126" s="31">
        <v>8000</v>
      </c>
      <c r="J126" s="28"/>
      <c r="K126" s="28" t="s">
        <v>21</v>
      </c>
      <c r="L126" s="28"/>
      <c r="M126" s="28" t="s">
        <v>31</v>
      </c>
      <c r="N126" s="28"/>
      <c r="O126" s="33" t="s">
        <v>23</v>
      </c>
      <c r="P126" s="28"/>
      <c r="Q126" s="28"/>
      <c r="R126" s="28"/>
      <c r="S126" s="43"/>
    </row>
    <row r="127" spans="2:19" ht="15" thickBot="1" x14ac:dyDescent="0.4">
      <c r="B127" s="27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33"/>
      <c r="P127" s="28"/>
      <c r="Q127" s="28"/>
      <c r="R127" s="28"/>
      <c r="S127" s="43"/>
    </row>
    <row r="128" spans="2:19" ht="15" thickBot="1" x14ac:dyDescent="0.4">
      <c r="B128" s="27"/>
      <c r="C128" s="28"/>
      <c r="D128" s="28"/>
      <c r="E128" s="28"/>
      <c r="F128" s="28"/>
      <c r="G128" s="28"/>
      <c r="H128" s="28"/>
      <c r="I128" s="31"/>
      <c r="J128" s="28"/>
      <c r="K128" s="33"/>
      <c r="L128" s="33"/>
      <c r="M128" s="28"/>
      <c r="N128" s="28"/>
      <c r="O128" s="33"/>
      <c r="P128" s="33"/>
      <c r="Q128" s="33"/>
      <c r="R128" s="28"/>
      <c r="S128" s="43"/>
    </row>
    <row r="129" spans="2:19" ht="15" thickBot="1" x14ac:dyDescent="0.4">
      <c r="B129" s="27"/>
      <c r="C129" s="28"/>
      <c r="D129" s="28"/>
      <c r="E129" s="28"/>
      <c r="F129" s="28"/>
      <c r="G129" s="28"/>
      <c r="H129" s="28"/>
      <c r="I129" s="28"/>
      <c r="J129" s="28"/>
      <c r="K129" s="33"/>
      <c r="L129" s="33"/>
      <c r="M129" s="28"/>
      <c r="N129" s="28"/>
      <c r="O129" s="33"/>
      <c r="P129" s="33"/>
      <c r="Q129" s="33"/>
      <c r="R129" s="28"/>
      <c r="S129" s="43"/>
    </row>
    <row r="130" spans="2:19" ht="15" thickBot="1" x14ac:dyDescent="0.4">
      <c r="B130" s="27"/>
      <c r="C130" s="28"/>
      <c r="D130" s="28"/>
      <c r="E130" s="28"/>
      <c r="F130" s="28"/>
      <c r="G130" s="28"/>
      <c r="H130" s="28"/>
      <c r="I130" s="31"/>
      <c r="J130" s="28"/>
      <c r="K130" s="28"/>
      <c r="L130" s="28"/>
      <c r="M130" s="28"/>
      <c r="N130" s="28"/>
      <c r="O130" s="33"/>
      <c r="P130" s="28"/>
      <c r="Q130" s="28"/>
      <c r="R130" s="28"/>
      <c r="S130" s="43"/>
    </row>
    <row r="131" spans="2:19" ht="15" thickBot="1" x14ac:dyDescent="0.4">
      <c r="B131" s="27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33"/>
      <c r="P131" s="28"/>
      <c r="Q131" s="28"/>
      <c r="R131" s="28"/>
      <c r="S131" s="43"/>
    </row>
    <row r="132" spans="2:19" ht="15" thickBot="1" x14ac:dyDescent="0.4">
      <c r="B132" s="27" t="s">
        <v>40</v>
      </c>
      <c r="C132" s="28"/>
      <c r="D132" s="28"/>
      <c r="E132" s="28" t="s">
        <v>41</v>
      </c>
      <c r="F132" s="28"/>
      <c r="G132" s="28"/>
      <c r="H132" s="28"/>
      <c r="I132" s="31">
        <v>10000</v>
      </c>
      <c r="J132" s="28"/>
      <c r="K132" s="28" t="s">
        <v>42</v>
      </c>
      <c r="L132" s="28"/>
      <c r="M132" s="28" t="s">
        <v>22</v>
      </c>
      <c r="N132" s="28"/>
      <c r="O132" s="33" t="s">
        <v>38</v>
      </c>
      <c r="P132" s="28"/>
      <c r="Q132" s="28"/>
      <c r="R132" s="28"/>
      <c r="S132" s="43"/>
    </row>
    <row r="133" spans="2:19" x14ac:dyDescent="0.35">
      <c r="B133" s="29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45"/>
      <c r="P133" s="30"/>
      <c r="Q133" s="30"/>
      <c r="R133" s="30"/>
      <c r="S133" s="44"/>
    </row>
    <row r="134" spans="2:19" ht="15" thickBot="1" x14ac:dyDescent="0.4">
      <c r="B134" s="46" t="s">
        <v>2</v>
      </c>
      <c r="C134" s="46"/>
      <c r="D134" s="46"/>
      <c r="E134" s="47"/>
      <c r="F134" s="47"/>
      <c r="G134" s="47"/>
      <c r="H134" s="47"/>
      <c r="I134" s="48">
        <v>50000</v>
      </c>
      <c r="J134" s="47"/>
      <c r="K134" s="47"/>
      <c r="L134" s="47"/>
      <c r="M134" s="47"/>
      <c r="N134" s="47"/>
      <c r="O134" s="47" t="s">
        <v>38</v>
      </c>
      <c r="P134" s="47"/>
      <c r="Q134" s="47"/>
      <c r="R134" s="47"/>
      <c r="S134" s="47"/>
    </row>
    <row r="135" spans="2:19" ht="15.5" thickTop="1" thickBot="1" x14ac:dyDescent="0.4">
      <c r="B135" s="46"/>
      <c r="C135" s="46"/>
      <c r="D135" s="46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</row>
    <row r="136" spans="2:19" ht="15" thickTop="1" x14ac:dyDescent="0.35"/>
    <row r="140" spans="2:19" x14ac:dyDescent="0.35">
      <c r="D140" s="23" t="s">
        <v>125</v>
      </c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5"/>
    </row>
    <row r="141" spans="2:19" x14ac:dyDescent="0.35">
      <c r="D141" s="34" t="s">
        <v>126</v>
      </c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25"/>
    </row>
    <row r="142" spans="2:19" x14ac:dyDescent="0.35">
      <c r="D142" s="34" t="s">
        <v>127</v>
      </c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25"/>
      <c r="Q142" s="25"/>
    </row>
    <row r="143" spans="2:19" x14ac:dyDescent="0.35">
      <c r="D143" s="34" t="s">
        <v>14</v>
      </c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25"/>
      <c r="Q143" s="25"/>
    </row>
    <row r="144" spans="2:19" x14ac:dyDescent="0.35">
      <c r="D144" s="35" t="s">
        <v>155</v>
      </c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</row>
    <row r="146" spans="2:19" ht="15" thickBot="1" x14ac:dyDescent="0.4">
      <c r="B146" s="26" t="s">
        <v>4</v>
      </c>
      <c r="C146" s="26"/>
      <c r="D146" s="26"/>
      <c r="E146" s="26" t="s">
        <v>6</v>
      </c>
      <c r="F146" s="26"/>
      <c r="G146" s="26"/>
      <c r="H146" s="26"/>
      <c r="I146" s="26" t="s">
        <v>7</v>
      </c>
      <c r="J146" s="26"/>
      <c r="K146" s="26" t="s">
        <v>8</v>
      </c>
      <c r="L146" s="26"/>
      <c r="M146" s="26" t="s">
        <v>15</v>
      </c>
      <c r="N146" s="26"/>
      <c r="O146" s="26" t="s">
        <v>16</v>
      </c>
      <c r="P146" s="36" t="s">
        <v>17</v>
      </c>
      <c r="Q146" s="36"/>
      <c r="R146" s="36" t="s">
        <v>18</v>
      </c>
      <c r="S146" s="36"/>
    </row>
    <row r="147" spans="2:19" ht="15" thickBot="1" x14ac:dyDescent="0.4"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36"/>
      <c r="Q147" s="36"/>
      <c r="R147" s="36"/>
      <c r="S147" s="36"/>
    </row>
    <row r="148" spans="2:19" ht="15" thickBot="1" x14ac:dyDescent="0.4">
      <c r="B148" s="37" t="s">
        <v>128</v>
      </c>
      <c r="C148" s="38"/>
      <c r="D148" s="38"/>
      <c r="E148" s="40" t="s">
        <v>133</v>
      </c>
      <c r="F148" s="40"/>
      <c r="G148" s="40"/>
      <c r="H148" s="40"/>
      <c r="I148" s="41">
        <v>10000</v>
      </c>
      <c r="J148" s="38"/>
      <c r="K148" s="38" t="s">
        <v>55</v>
      </c>
      <c r="L148" s="38"/>
      <c r="M148" s="38" t="s">
        <v>138</v>
      </c>
      <c r="N148" s="38"/>
      <c r="O148" s="38" t="s">
        <v>23</v>
      </c>
      <c r="P148" s="38"/>
      <c r="Q148" s="38"/>
      <c r="R148" s="40"/>
      <c r="S148" s="42"/>
    </row>
    <row r="149" spans="2:19" ht="15" thickBot="1" x14ac:dyDescent="0.4">
      <c r="B149" s="39"/>
      <c r="C149" s="33"/>
      <c r="D149" s="33"/>
      <c r="E149" s="28"/>
      <c r="F149" s="28"/>
      <c r="G149" s="28"/>
      <c r="H149" s="28"/>
      <c r="I149" s="33"/>
      <c r="J149" s="33"/>
      <c r="K149" s="33"/>
      <c r="L149" s="33"/>
      <c r="M149" s="33"/>
      <c r="N149" s="33"/>
      <c r="O149" s="33"/>
      <c r="P149" s="33"/>
      <c r="Q149" s="33"/>
      <c r="R149" s="28"/>
      <c r="S149" s="43"/>
    </row>
    <row r="150" spans="2:19" ht="15" thickBot="1" x14ac:dyDescent="0.4">
      <c r="B150" s="27" t="s">
        <v>129</v>
      </c>
      <c r="C150" s="28"/>
      <c r="D150" s="28"/>
      <c r="E150" s="28" t="s">
        <v>134</v>
      </c>
      <c r="F150" s="28"/>
      <c r="G150" s="28"/>
      <c r="H150" s="28"/>
      <c r="I150" s="32">
        <v>5000</v>
      </c>
      <c r="J150" s="33"/>
      <c r="K150" s="33" t="s">
        <v>21</v>
      </c>
      <c r="L150" s="33"/>
      <c r="M150" s="28" t="s">
        <v>79</v>
      </c>
      <c r="N150" s="28"/>
      <c r="O150" s="33" t="s">
        <v>23</v>
      </c>
      <c r="P150" s="33"/>
      <c r="Q150" s="33"/>
      <c r="R150" s="28"/>
      <c r="S150" s="43"/>
    </row>
    <row r="151" spans="2:19" ht="15" thickBot="1" x14ac:dyDescent="0.4">
      <c r="B151" s="27"/>
      <c r="C151" s="28"/>
      <c r="D151" s="28"/>
      <c r="E151" s="28"/>
      <c r="F151" s="28"/>
      <c r="G151" s="28"/>
      <c r="H151" s="28"/>
      <c r="I151" s="33"/>
      <c r="J151" s="33"/>
      <c r="K151" s="33"/>
      <c r="L151" s="33"/>
      <c r="M151" s="28"/>
      <c r="N151" s="28"/>
      <c r="O151" s="33"/>
      <c r="P151" s="33"/>
      <c r="Q151" s="33"/>
      <c r="R151" s="28"/>
      <c r="S151" s="43"/>
    </row>
    <row r="152" spans="2:19" ht="15" thickBot="1" x14ac:dyDescent="0.4">
      <c r="B152" s="27" t="s">
        <v>130</v>
      </c>
      <c r="C152" s="28"/>
      <c r="D152" s="28"/>
      <c r="E152" s="28" t="s">
        <v>135</v>
      </c>
      <c r="F152" s="28"/>
      <c r="G152" s="28"/>
      <c r="H152" s="28"/>
      <c r="I152" s="31">
        <v>10000</v>
      </c>
      <c r="J152" s="28"/>
      <c r="K152" s="28" t="s">
        <v>10</v>
      </c>
      <c r="L152" s="28"/>
      <c r="M152" s="28" t="s">
        <v>31</v>
      </c>
      <c r="N152" s="28"/>
      <c r="O152" s="33" t="s">
        <v>23</v>
      </c>
      <c r="P152" s="28"/>
      <c r="Q152" s="28"/>
      <c r="R152" s="28"/>
      <c r="S152" s="43"/>
    </row>
    <row r="153" spans="2:19" ht="15" thickBot="1" x14ac:dyDescent="0.4">
      <c r="B153" s="27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33"/>
      <c r="P153" s="28"/>
      <c r="Q153" s="28"/>
      <c r="R153" s="28"/>
      <c r="S153" s="43"/>
    </row>
    <row r="154" spans="2:19" ht="15" thickBot="1" x14ac:dyDescent="0.4">
      <c r="B154" s="27" t="s">
        <v>131</v>
      </c>
      <c r="C154" s="28"/>
      <c r="D154" s="28"/>
      <c r="E154" s="28" t="s">
        <v>136</v>
      </c>
      <c r="F154" s="28"/>
      <c r="G154" s="28"/>
      <c r="H154" s="28"/>
      <c r="I154" s="31">
        <v>15000</v>
      </c>
      <c r="J154" s="28"/>
      <c r="K154" s="33" t="s">
        <v>21</v>
      </c>
      <c r="L154" s="33"/>
      <c r="M154" s="28" t="s">
        <v>139</v>
      </c>
      <c r="N154" s="28"/>
      <c r="O154" s="33" t="s">
        <v>23</v>
      </c>
      <c r="P154" s="33"/>
      <c r="Q154" s="33"/>
      <c r="R154" s="28"/>
      <c r="S154" s="43"/>
    </row>
    <row r="155" spans="2:19" ht="15" thickBot="1" x14ac:dyDescent="0.4">
      <c r="B155" s="27"/>
      <c r="C155" s="28"/>
      <c r="D155" s="28"/>
      <c r="E155" s="28"/>
      <c r="F155" s="28"/>
      <c r="G155" s="28"/>
      <c r="H155" s="28"/>
      <c r="I155" s="28"/>
      <c r="J155" s="28"/>
      <c r="K155" s="33"/>
      <c r="L155" s="33"/>
      <c r="M155" s="28"/>
      <c r="N155" s="28"/>
      <c r="O155" s="33"/>
      <c r="P155" s="33"/>
      <c r="Q155" s="33"/>
      <c r="R155" s="28"/>
      <c r="S155" s="43"/>
    </row>
    <row r="156" spans="2:19" ht="15" thickBot="1" x14ac:dyDescent="0.4">
      <c r="B156" s="27" t="s">
        <v>132</v>
      </c>
      <c r="C156" s="28"/>
      <c r="D156" s="28"/>
      <c r="E156" s="28" t="s">
        <v>137</v>
      </c>
      <c r="F156" s="28"/>
      <c r="G156" s="28"/>
      <c r="H156" s="28"/>
      <c r="I156" s="31">
        <v>10000</v>
      </c>
      <c r="J156" s="28"/>
      <c r="K156" s="28" t="s">
        <v>21</v>
      </c>
      <c r="L156" s="28"/>
      <c r="M156" s="28" t="s">
        <v>31</v>
      </c>
      <c r="N156" s="28"/>
      <c r="O156" s="33" t="s">
        <v>38</v>
      </c>
      <c r="P156" s="28"/>
      <c r="Q156" s="28"/>
      <c r="R156" s="28"/>
      <c r="S156" s="43"/>
    </row>
    <row r="157" spans="2:19" ht="15" thickBot="1" x14ac:dyDescent="0.4">
      <c r="B157" s="27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33"/>
      <c r="P157" s="28"/>
      <c r="Q157" s="28"/>
      <c r="R157" s="28"/>
      <c r="S157" s="43"/>
    </row>
    <row r="158" spans="2:19" ht="15" thickBot="1" x14ac:dyDescent="0.4">
      <c r="B158" s="27"/>
      <c r="C158" s="28"/>
      <c r="D158" s="28"/>
      <c r="E158" s="28"/>
      <c r="F158" s="28"/>
      <c r="G158" s="28"/>
      <c r="H158" s="28"/>
      <c r="I158" s="31"/>
      <c r="J158" s="28"/>
      <c r="K158" s="28"/>
      <c r="L158" s="28"/>
      <c r="M158" s="28"/>
      <c r="N158" s="28"/>
      <c r="O158" s="33"/>
      <c r="P158" s="28"/>
      <c r="Q158" s="28"/>
      <c r="R158" s="28"/>
      <c r="S158" s="43"/>
    </row>
    <row r="159" spans="2:19" x14ac:dyDescent="0.35">
      <c r="B159" s="29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45"/>
      <c r="P159" s="30"/>
      <c r="Q159" s="30"/>
      <c r="R159" s="30"/>
      <c r="S159" s="44"/>
    </row>
    <row r="160" spans="2:19" ht="15" thickBot="1" x14ac:dyDescent="0.4">
      <c r="B160" s="46" t="s">
        <v>2</v>
      </c>
      <c r="C160" s="46"/>
      <c r="D160" s="46"/>
      <c r="E160" s="47"/>
      <c r="F160" s="47"/>
      <c r="G160" s="47"/>
      <c r="H160" s="47"/>
      <c r="I160" s="48">
        <v>50000</v>
      </c>
      <c r="J160" s="47"/>
      <c r="K160" s="47"/>
      <c r="L160" s="47"/>
      <c r="M160" s="47"/>
      <c r="N160" s="47"/>
      <c r="O160" s="47" t="s">
        <v>38</v>
      </c>
      <c r="P160" s="47"/>
      <c r="Q160" s="47"/>
      <c r="R160" s="47"/>
      <c r="S160" s="47"/>
    </row>
    <row r="161" spans="2:19" ht="15.5" thickTop="1" thickBot="1" x14ac:dyDescent="0.4">
      <c r="B161" s="46"/>
      <c r="C161" s="46"/>
      <c r="D161" s="46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</row>
    <row r="162" spans="2:19" ht="15" thickTop="1" x14ac:dyDescent="0.35"/>
    <row r="171" spans="2:19" x14ac:dyDescent="0.35">
      <c r="D171" s="23" t="s">
        <v>140</v>
      </c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5"/>
    </row>
    <row r="172" spans="2:19" x14ac:dyDescent="0.35">
      <c r="D172" s="34" t="s">
        <v>141</v>
      </c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25"/>
    </row>
    <row r="173" spans="2:19" x14ac:dyDescent="0.35">
      <c r="D173" s="34" t="s">
        <v>142</v>
      </c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25"/>
      <c r="Q173" s="25"/>
    </row>
    <row r="174" spans="2:19" x14ac:dyDescent="0.35">
      <c r="D174" s="34" t="s">
        <v>14</v>
      </c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25"/>
      <c r="Q174" s="25"/>
    </row>
    <row r="175" spans="2:19" x14ac:dyDescent="0.35">
      <c r="D175" s="35" t="s">
        <v>156</v>
      </c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</row>
    <row r="177" spans="2:19" ht="15" thickBot="1" x14ac:dyDescent="0.4">
      <c r="B177" s="26" t="s">
        <v>4</v>
      </c>
      <c r="C177" s="26"/>
      <c r="D177" s="26"/>
      <c r="E177" s="26" t="s">
        <v>6</v>
      </c>
      <c r="F177" s="26"/>
      <c r="G177" s="26"/>
      <c r="H177" s="26"/>
      <c r="I177" s="26" t="s">
        <v>7</v>
      </c>
      <c r="J177" s="26"/>
      <c r="K177" s="26" t="s">
        <v>8</v>
      </c>
      <c r="L177" s="26"/>
      <c r="M177" s="26" t="s">
        <v>15</v>
      </c>
      <c r="N177" s="26"/>
      <c r="O177" s="26" t="s">
        <v>16</v>
      </c>
      <c r="P177" s="36" t="s">
        <v>17</v>
      </c>
      <c r="Q177" s="36"/>
      <c r="R177" s="36" t="s">
        <v>18</v>
      </c>
      <c r="S177" s="36"/>
    </row>
    <row r="178" spans="2:19" ht="15" thickBot="1" x14ac:dyDescent="0.4"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36"/>
      <c r="Q178" s="36"/>
      <c r="R178" s="36"/>
      <c r="S178" s="36"/>
    </row>
    <row r="179" spans="2:19" ht="15" thickBot="1" x14ac:dyDescent="0.4">
      <c r="B179" s="37" t="s">
        <v>143</v>
      </c>
      <c r="C179" s="38"/>
      <c r="D179" s="38"/>
      <c r="E179" s="40" t="s">
        <v>145</v>
      </c>
      <c r="F179" s="40"/>
      <c r="G179" s="40"/>
      <c r="H179" s="40"/>
      <c r="I179" s="41">
        <v>15000</v>
      </c>
      <c r="J179" s="38"/>
      <c r="K179" s="38" t="s">
        <v>21</v>
      </c>
      <c r="L179" s="38"/>
      <c r="M179" s="38" t="s">
        <v>31</v>
      </c>
      <c r="N179" s="38"/>
      <c r="O179" s="38" t="s">
        <v>23</v>
      </c>
      <c r="P179" s="38"/>
      <c r="Q179" s="38"/>
      <c r="R179" s="40"/>
      <c r="S179" s="42"/>
    </row>
    <row r="180" spans="2:19" ht="15" thickBot="1" x14ac:dyDescent="0.4">
      <c r="B180" s="39"/>
      <c r="C180" s="33"/>
      <c r="D180" s="33"/>
      <c r="E180" s="28"/>
      <c r="F180" s="28"/>
      <c r="G180" s="28"/>
      <c r="H180" s="28"/>
      <c r="I180" s="33"/>
      <c r="J180" s="33"/>
      <c r="K180" s="33"/>
      <c r="L180" s="33"/>
      <c r="M180" s="33"/>
      <c r="N180" s="33"/>
      <c r="O180" s="33"/>
      <c r="P180" s="33"/>
      <c r="Q180" s="33"/>
      <c r="R180" s="28"/>
      <c r="S180" s="43"/>
    </row>
    <row r="181" spans="2:19" ht="15" thickBot="1" x14ac:dyDescent="0.4">
      <c r="B181" s="27" t="s">
        <v>113</v>
      </c>
      <c r="C181" s="28"/>
      <c r="D181" s="28"/>
      <c r="E181" s="28" t="s">
        <v>146</v>
      </c>
      <c r="F181" s="28"/>
      <c r="G181" s="28"/>
      <c r="H181" s="28"/>
      <c r="I181" s="32">
        <v>20000</v>
      </c>
      <c r="J181" s="33"/>
      <c r="K181" s="33" t="s">
        <v>10</v>
      </c>
      <c r="L181" s="33"/>
      <c r="M181" s="28" t="s">
        <v>139</v>
      </c>
      <c r="N181" s="28"/>
      <c r="O181" s="33" t="s">
        <v>23</v>
      </c>
      <c r="P181" s="33"/>
      <c r="Q181" s="33"/>
      <c r="R181" s="28"/>
      <c r="S181" s="43"/>
    </row>
    <row r="182" spans="2:19" ht="15" thickBot="1" x14ac:dyDescent="0.4">
      <c r="B182" s="27"/>
      <c r="C182" s="28"/>
      <c r="D182" s="28"/>
      <c r="E182" s="28"/>
      <c r="F182" s="28"/>
      <c r="G182" s="28"/>
      <c r="H182" s="28"/>
      <c r="I182" s="33"/>
      <c r="J182" s="33"/>
      <c r="K182" s="33"/>
      <c r="L182" s="33"/>
      <c r="M182" s="28"/>
      <c r="N182" s="28"/>
      <c r="O182" s="33"/>
      <c r="P182" s="33"/>
      <c r="Q182" s="33"/>
      <c r="R182" s="28"/>
      <c r="S182" s="43"/>
    </row>
    <row r="183" spans="2:19" ht="15" thickBot="1" x14ac:dyDescent="0.4">
      <c r="B183" s="27" t="s">
        <v>144</v>
      </c>
      <c r="C183" s="28"/>
      <c r="D183" s="28"/>
      <c r="E183" s="28" t="s">
        <v>147</v>
      </c>
      <c r="F183" s="28"/>
      <c r="G183" s="28"/>
      <c r="H183" s="28"/>
      <c r="I183" s="31">
        <v>10000</v>
      </c>
      <c r="J183" s="28"/>
      <c r="K183" s="28" t="s">
        <v>10</v>
      </c>
      <c r="L183" s="28"/>
      <c r="M183" s="28" t="s">
        <v>149</v>
      </c>
      <c r="N183" s="28"/>
      <c r="O183" s="33" t="s">
        <v>23</v>
      </c>
      <c r="P183" s="28"/>
      <c r="Q183" s="28"/>
      <c r="R183" s="28"/>
      <c r="S183" s="43"/>
    </row>
    <row r="184" spans="2:19" ht="15" thickBot="1" x14ac:dyDescent="0.4">
      <c r="B184" s="27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33"/>
      <c r="P184" s="28"/>
      <c r="Q184" s="28"/>
      <c r="R184" s="28"/>
      <c r="S184" s="43"/>
    </row>
    <row r="185" spans="2:19" ht="15" thickBot="1" x14ac:dyDescent="0.4">
      <c r="B185" s="27"/>
      <c r="C185" s="28"/>
      <c r="D185" s="28"/>
      <c r="E185" s="28"/>
      <c r="F185" s="28"/>
      <c r="G185" s="28"/>
      <c r="H185" s="28"/>
      <c r="I185" s="31"/>
      <c r="J185" s="28"/>
      <c r="K185" s="33"/>
      <c r="L185" s="33"/>
      <c r="M185" s="28"/>
      <c r="N185" s="28"/>
      <c r="O185" s="33"/>
      <c r="P185" s="33"/>
      <c r="Q185" s="33"/>
      <c r="R185" s="28"/>
      <c r="S185" s="43"/>
    </row>
    <row r="186" spans="2:19" ht="15" thickBot="1" x14ac:dyDescent="0.4">
      <c r="B186" s="27"/>
      <c r="C186" s="28"/>
      <c r="D186" s="28"/>
      <c r="E186" s="28"/>
      <c r="F186" s="28"/>
      <c r="G186" s="28"/>
      <c r="H186" s="28"/>
      <c r="I186" s="28"/>
      <c r="J186" s="28"/>
      <c r="K186" s="33"/>
      <c r="L186" s="33"/>
      <c r="M186" s="28"/>
      <c r="N186" s="28"/>
      <c r="O186" s="33"/>
      <c r="P186" s="33"/>
      <c r="Q186" s="33"/>
      <c r="R186" s="28"/>
      <c r="S186" s="43"/>
    </row>
    <row r="187" spans="2:19" ht="15" thickBot="1" x14ac:dyDescent="0.4">
      <c r="B187" s="27"/>
      <c r="C187" s="28"/>
      <c r="D187" s="28"/>
      <c r="E187" s="28"/>
      <c r="F187" s="28"/>
      <c r="G187" s="28"/>
      <c r="H187" s="28"/>
      <c r="I187" s="31"/>
      <c r="J187" s="28"/>
      <c r="K187" s="28"/>
      <c r="L187" s="28"/>
      <c r="M187" s="28"/>
      <c r="N187" s="28"/>
      <c r="O187" s="33"/>
      <c r="P187" s="28"/>
      <c r="Q187" s="28"/>
      <c r="R187" s="28"/>
      <c r="S187" s="43"/>
    </row>
    <row r="188" spans="2:19" ht="15" thickBot="1" x14ac:dyDescent="0.4">
      <c r="B188" s="27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33"/>
      <c r="P188" s="28"/>
      <c r="Q188" s="28"/>
      <c r="R188" s="28"/>
      <c r="S188" s="43"/>
    </row>
    <row r="189" spans="2:19" ht="15" thickBot="1" x14ac:dyDescent="0.4">
      <c r="B189" s="27" t="s">
        <v>40</v>
      </c>
      <c r="C189" s="28"/>
      <c r="D189" s="28"/>
      <c r="E189" s="28" t="s">
        <v>148</v>
      </c>
      <c r="F189" s="28"/>
      <c r="G189" s="28"/>
      <c r="H189" s="28"/>
      <c r="I189" s="31">
        <v>5000</v>
      </c>
      <c r="J189" s="28"/>
      <c r="K189" s="28" t="s">
        <v>42</v>
      </c>
      <c r="L189" s="28"/>
      <c r="M189" s="28" t="s">
        <v>31</v>
      </c>
      <c r="N189" s="28"/>
      <c r="O189" s="33" t="s">
        <v>38</v>
      </c>
      <c r="P189" s="28"/>
      <c r="Q189" s="28"/>
      <c r="R189" s="28"/>
      <c r="S189" s="43"/>
    </row>
    <row r="190" spans="2:19" x14ac:dyDescent="0.35">
      <c r="B190" s="29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45"/>
      <c r="P190" s="30"/>
      <c r="Q190" s="30"/>
      <c r="R190" s="30"/>
      <c r="S190" s="44"/>
    </row>
    <row r="191" spans="2:19" ht="15" thickBot="1" x14ac:dyDescent="0.4">
      <c r="B191" s="46" t="s">
        <v>2</v>
      </c>
      <c r="C191" s="46"/>
      <c r="D191" s="46"/>
      <c r="E191" s="47"/>
      <c r="F191" s="47"/>
      <c r="G191" s="47"/>
      <c r="H191" s="47"/>
      <c r="I191" s="48">
        <v>50000</v>
      </c>
      <c r="J191" s="47"/>
      <c r="K191" s="47"/>
      <c r="L191" s="47"/>
      <c r="M191" s="47"/>
      <c r="N191" s="47"/>
      <c r="O191" s="47" t="s">
        <v>38</v>
      </c>
      <c r="P191" s="47"/>
      <c r="Q191" s="47"/>
      <c r="R191" s="47"/>
      <c r="S191" s="47"/>
    </row>
    <row r="192" spans="2:19" ht="15.5" thickTop="1" thickBot="1" x14ac:dyDescent="0.4">
      <c r="B192" s="46"/>
      <c r="C192" s="46"/>
      <c r="D192" s="46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</row>
    <row r="193" ht="15" thickTop="1" x14ac:dyDescent="0.35"/>
  </sheetData>
  <mergeCells count="485">
    <mergeCell ref="B189:D190"/>
    <mergeCell ref="E189:H190"/>
    <mergeCell ref="I189:J190"/>
    <mergeCell ref="K189:L190"/>
    <mergeCell ref="M189:N190"/>
    <mergeCell ref="O189:O190"/>
    <mergeCell ref="P189:Q190"/>
    <mergeCell ref="R189:S190"/>
    <mergeCell ref="B191:D192"/>
    <mergeCell ref="E191:H192"/>
    <mergeCell ref="I191:J192"/>
    <mergeCell ref="K191:L192"/>
    <mergeCell ref="M191:N192"/>
    <mergeCell ref="O191:O192"/>
    <mergeCell ref="P191:Q192"/>
    <mergeCell ref="R191:S192"/>
    <mergeCell ref="B185:D186"/>
    <mergeCell ref="E185:H186"/>
    <mergeCell ref="I185:J186"/>
    <mergeCell ref="K185:L186"/>
    <mergeCell ref="M185:N186"/>
    <mergeCell ref="O185:O186"/>
    <mergeCell ref="P185:Q186"/>
    <mergeCell ref="R185:S186"/>
    <mergeCell ref="B187:D188"/>
    <mergeCell ref="E187:H188"/>
    <mergeCell ref="I187:J188"/>
    <mergeCell ref="K187:L188"/>
    <mergeCell ref="M187:N188"/>
    <mergeCell ref="O187:O188"/>
    <mergeCell ref="P187:Q188"/>
    <mergeCell ref="R187:S188"/>
    <mergeCell ref="B181:D182"/>
    <mergeCell ref="E181:H182"/>
    <mergeCell ref="I181:J182"/>
    <mergeCell ref="K181:L182"/>
    <mergeCell ref="M181:N182"/>
    <mergeCell ref="O181:O182"/>
    <mergeCell ref="P181:Q182"/>
    <mergeCell ref="R181:S182"/>
    <mergeCell ref="B183:D184"/>
    <mergeCell ref="E183:H184"/>
    <mergeCell ref="I183:J184"/>
    <mergeCell ref="K183:L184"/>
    <mergeCell ref="M183:N184"/>
    <mergeCell ref="O183:O184"/>
    <mergeCell ref="P183:Q184"/>
    <mergeCell ref="R183:S184"/>
    <mergeCell ref="R177:S178"/>
    <mergeCell ref="B179:D180"/>
    <mergeCell ref="E179:H180"/>
    <mergeCell ref="I179:J180"/>
    <mergeCell ref="K179:L180"/>
    <mergeCell ref="M179:N180"/>
    <mergeCell ref="O179:O180"/>
    <mergeCell ref="P179:Q180"/>
    <mergeCell ref="R179:S180"/>
    <mergeCell ref="D171:Q171"/>
    <mergeCell ref="D172:Q172"/>
    <mergeCell ref="D173:Q173"/>
    <mergeCell ref="D174:Q174"/>
    <mergeCell ref="B177:D178"/>
    <mergeCell ref="E177:H178"/>
    <mergeCell ref="I177:J178"/>
    <mergeCell ref="K177:L178"/>
    <mergeCell ref="M177:N178"/>
    <mergeCell ref="O177:O178"/>
    <mergeCell ref="P177:Q178"/>
    <mergeCell ref="D175:Q175"/>
    <mergeCell ref="B158:D159"/>
    <mergeCell ref="E158:H159"/>
    <mergeCell ref="I158:J159"/>
    <mergeCell ref="K158:L159"/>
    <mergeCell ref="M158:N159"/>
    <mergeCell ref="O158:O159"/>
    <mergeCell ref="P158:Q159"/>
    <mergeCell ref="R158:S159"/>
    <mergeCell ref="B160:D161"/>
    <mergeCell ref="E160:H161"/>
    <mergeCell ref="I160:J161"/>
    <mergeCell ref="K160:L161"/>
    <mergeCell ref="M160:N161"/>
    <mergeCell ref="O160:O161"/>
    <mergeCell ref="P160:Q161"/>
    <mergeCell ref="R160:S161"/>
    <mergeCell ref="B154:D155"/>
    <mergeCell ref="E154:H155"/>
    <mergeCell ref="I154:J155"/>
    <mergeCell ref="K154:L155"/>
    <mergeCell ref="M154:N155"/>
    <mergeCell ref="O154:O155"/>
    <mergeCell ref="P154:Q155"/>
    <mergeCell ref="R154:S155"/>
    <mergeCell ref="B156:D157"/>
    <mergeCell ref="E156:H157"/>
    <mergeCell ref="I156:J157"/>
    <mergeCell ref="K156:L157"/>
    <mergeCell ref="M156:N157"/>
    <mergeCell ref="O156:O157"/>
    <mergeCell ref="P156:Q157"/>
    <mergeCell ref="R156:S157"/>
    <mergeCell ref="B150:D151"/>
    <mergeCell ref="E150:H151"/>
    <mergeCell ref="I150:J151"/>
    <mergeCell ref="K150:L151"/>
    <mergeCell ref="M150:N151"/>
    <mergeCell ref="O150:O151"/>
    <mergeCell ref="P150:Q151"/>
    <mergeCell ref="R150:S151"/>
    <mergeCell ref="B152:D153"/>
    <mergeCell ref="E152:H153"/>
    <mergeCell ref="I152:J153"/>
    <mergeCell ref="K152:L153"/>
    <mergeCell ref="M152:N153"/>
    <mergeCell ref="O152:O153"/>
    <mergeCell ref="P152:Q153"/>
    <mergeCell ref="R152:S153"/>
    <mergeCell ref="R146:S147"/>
    <mergeCell ref="B148:D149"/>
    <mergeCell ref="E148:H149"/>
    <mergeCell ref="I148:J149"/>
    <mergeCell ref="K148:L149"/>
    <mergeCell ref="M148:N149"/>
    <mergeCell ref="O148:O149"/>
    <mergeCell ref="P148:Q149"/>
    <mergeCell ref="R148:S149"/>
    <mergeCell ref="D140:Q140"/>
    <mergeCell ref="D141:Q141"/>
    <mergeCell ref="D142:Q142"/>
    <mergeCell ref="D143:Q143"/>
    <mergeCell ref="B146:D147"/>
    <mergeCell ref="E146:H147"/>
    <mergeCell ref="I146:J147"/>
    <mergeCell ref="K146:L147"/>
    <mergeCell ref="M146:N147"/>
    <mergeCell ref="O146:O147"/>
    <mergeCell ref="P146:Q147"/>
    <mergeCell ref="D144:Q144"/>
    <mergeCell ref="B132:D133"/>
    <mergeCell ref="E132:H133"/>
    <mergeCell ref="I132:J133"/>
    <mergeCell ref="K132:L133"/>
    <mergeCell ref="M132:N133"/>
    <mergeCell ref="O132:O133"/>
    <mergeCell ref="P132:Q133"/>
    <mergeCell ref="R132:S133"/>
    <mergeCell ref="B134:D135"/>
    <mergeCell ref="E134:H135"/>
    <mergeCell ref="I134:J135"/>
    <mergeCell ref="K134:L135"/>
    <mergeCell ref="M134:N135"/>
    <mergeCell ref="O134:O135"/>
    <mergeCell ref="P134:Q135"/>
    <mergeCell ref="R134:S135"/>
    <mergeCell ref="B128:D129"/>
    <mergeCell ref="E128:H129"/>
    <mergeCell ref="I128:J129"/>
    <mergeCell ref="K128:L129"/>
    <mergeCell ref="M128:N129"/>
    <mergeCell ref="O128:O129"/>
    <mergeCell ref="P128:Q129"/>
    <mergeCell ref="R128:S129"/>
    <mergeCell ref="B130:D131"/>
    <mergeCell ref="E130:H131"/>
    <mergeCell ref="I130:J131"/>
    <mergeCell ref="K130:L131"/>
    <mergeCell ref="M130:N131"/>
    <mergeCell ref="O130:O131"/>
    <mergeCell ref="P130:Q131"/>
    <mergeCell ref="R130:S131"/>
    <mergeCell ref="B124:D125"/>
    <mergeCell ref="E124:H125"/>
    <mergeCell ref="I124:J125"/>
    <mergeCell ref="K124:L125"/>
    <mergeCell ref="M124:N125"/>
    <mergeCell ref="O124:O125"/>
    <mergeCell ref="P124:Q125"/>
    <mergeCell ref="R124:S125"/>
    <mergeCell ref="B126:D127"/>
    <mergeCell ref="E126:H127"/>
    <mergeCell ref="I126:J127"/>
    <mergeCell ref="K126:L127"/>
    <mergeCell ref="M126:N127"/>
    <mergeCell ref="O126:O127"/>
    <mergeCell ref="P126:Q127"/>
    <mergeCell ref="R126:S127"/>
    <mergeCell ref="R120:S121"/>
    <mergeCell ref="B122:D123"/>
    <mergeCell ref="E122:H123"/>
    <mergeCell ref="I122:J123"/>
    <mergeCell ref="K122:L123"/>
    <mergeCell ref="M122:N123"/>
    <mergeCell ref="O122:O123"/>
    <mergeCell ref="P122:Q123"/>
    <mergeCell ref="R122:S123"/>
    <mergeCell ref="D114:Q114"/>
    <mergeCell ref="D115:Q115"/>
    <mergeCell ref="D116:Q116"/>
    <mergeCell ref="D117:Q117"/>
    <mergeCell ref="B120:D121"/>
    <mergeCell ref="E120:H121"/>
    <mergeCell ref="I120:J121"/>
    <mergeCell ref="K120:L121"/>
    <mergeCell ref="M120:N121"/>
    <mergeCell ref="O120:O121"/>
    <mergeCell ref="P120:Q121"/>
    <mergeCell ref="D118:Q118"/>
    <mergeCell ref="B106:D107"/>
    <mergeCell ref="E106:H107"/>
    <mergeCell ref="I106:J107"/>
    <mergeCell ref="K106:L107"/>
    <mergeCell ref="M106:N107"/>
    <mergeCell ref="O106:O107"/>
    <mergeCell ref="P106:Q107"/>
    <mergeCell ref="R106:S107"/>
    <mergeCell ref="B108:D109"/>
    <mergeCell ref="E108:H109"/>
    <mergeCell ref="I108:J109"/>
    <mergeCell ref="K108:L109"/>
    <mergeCell ref="M108:N109"/>
    <mergeCell ref="O108:O109"/>
    <mergeCell ref="P108:Q109"/>
    <mergeCell ref="R108:S109"/>
    <mergeCell ref="B102:D103"/>
    <mergeCell ref="E102:H103"/>
    <mergeCell ref="I102:J103"/>
    <mergeCell ref="K102:L103"/>
    <mergeCell ref="M102:N103"/>
    <mergeCell ref="O102:O103"/>
    <mergeCell ref="P102:Q103"/>
    <mergeCell ref="R102:S103"/>
    <mergeCell ref="B104:D105"/>
    <mergeCell ref="E104:H105"/>
    <mergeCell ref="I104:J105"/>
    <mergeCell ref="K104:L105"/>
    <mergeCell ref="M104:N105"/>
    <mergeCell ref="O104:O105"/>
    <mergeCell ref="P104:Q105"/>
    <mergeCell ref="R104:S105"/>
    <mergeCell ref="B98:D99"/>
    <mergeCell ref="E98:H99"/>
    <mergeCell ref="I98:J99"/>
    <mergeCell ref="K98:L99"/>
    <mergeCell ref="M98:N99"/>
    <mergeCell ref="O98:O99"/>
    <mergeCell ref="P98:Q99"/>
    <mergeCell ref="R98:S99"/>
    <mergeCell ref="B100:D101"/>
    <mergeCell ref="E100:H101"/>
    <mergeCell ref="I100:J101"/>
    <mergeCell ref="K100:L101"/>
    <mergeCell ref="M100:N101"/>
    <mergeCell ref="O100:O101"/>
    <mergeCell ref="P100:Q101"/>
    <mergeCell ref="R100:S101"/>
    <mergeCell ref="R94:S95"/>
    <mergeCell ref="B96:D97"/>
    <mergeCell ref="E96:H97"/>
    <mergeCell ref="I96:J97"/>
    <mergeCell ref="K96:L97"/>
    <mergeCell ref="M96:N97"/>
    <mergeCell ref="O96:O97"/>
    <mergeCell ref="P96:Q97"/>
    <mergeCell ref="R96:S97"/>
    <mergeCell ref="D88:Q88"/>
    <mergeCell ref="D89:Q89"/>
    <mergeCell ref="D90:Q90"/>
    <mergeCell ref="D91:Q91"/>
    <mergeCell ref="B94:D95"/>
    <mergeCell ref="E94:H95"/>
    <mergeCell ref="I94:J95"/>
    <mergeCell ref="K94:L95"/>
    <mergeCell ref="M94:N95"/>
    <mergeCell ref="O94:O95"/>
    <mergeCell ref="P94:Q95"/>
    <mergeCell ref="D92:Q92"/>
    <mergeCell ref="B80:D81"/>
    <mergeCell ref="E80:H81"/>
    <mergeCell ref="I80:J81"/>
    <mergeCell ref="K80:L81"/>
    <mergeCell ref="M80:N81"/>
    <mergeCell ref="O80:O81"/>
    <mergeCell ref="P80:Q81"/>
    <mergeCell ref="R80:S81"/>
    <mergeCell ref="B82:D83"/>
    <mergeCell ref="E82:H83"/>
    <mergeCell ref="I82:J83"/>
    <mergeCell ref="K82:L83"/>
    <mergeCell ref="M82:N83"/>
    <mergeCell ref="O82:O83"/>
    <mergeCell ref="P82:Q83"/>
    <mergeCell ref="R82:S83"/>
    <mergeCell ref="B76:D77"/>
    <mergeCell ref="E76:H77"/>
    <mergeCell ref="I76:J77"/>
    <mergeCell ref="K76:L77"/>
    <mergeCell ref="M76:N77"/>
    <mergeCell ref="O76:O77"/>
    <mergeCell ref="P76:Q77"/>
    <mergeCell ref="R76:S77"/>
    <mergeCell ref="B78:D79"/>
    <mergeCell ref="E78:H79"/>
    <mergeCell ref="I78:J79"/>
    <mergeCell ref="K78:L79"/>
    <mergeCell ref="M78:N79"/>
    <mergeCell ref="O78:O79"/>
    <mergeCell ref="P78:Q79"/>
    <mergeCell ref="R78:S79"/>
    <mergeCell ref="B72:D73"/>
    <mergeCell ref="E72:H73"/>
    <mergeCell ref="I72:J73"/>
    <mergeCell ref="K72:L73"/>
    <mergeCell ref="M72:N73"/>
    <mergeCell ref="O72:O73"/>
    <mergeCell ref="P72:Q73"/>
    <mergeCell ref="R72:S73"/>
    <mergeCell ref="B74:D75"/>
    <mergeCell ref="E74:H75"/>
    <mergeCell ref="I74:J75"/>
    <mergeCell ref="K74:L75"/>
    <mergeCell ref="M74:N75"/>
    <mergeCell ref="O74:O75"/>
    <mergeCell ref="P74:Q75"/>
    <mergeCell ref="R74:S75"/>
    <mergeCell ref="R68:S69"/>
    <mergeCell ref="B70:D71"/>
    <mergeCell ref="E70:H71"/>
    <mergeCell ref="I70:J71"/>
    <mergeCell ref="K70:L71"/>
    <mergeCell ref="M70:N71"/>
    <mergeCell ref="O70:O71"/>
    <mergeCell ref="P70:Q71"/>
    <mergeCell ref="R70:S71"/>
    <mergeCell ref="D62:Q62"/>
    <mergeCell ref="D63:Q63"/>
    <mergeCell ref="D64:Q64"/>
    <mergeCell ref="D65:Q65"/>
    <mergeCell ref="B68:D69"/>
    <mergeCell ref="E68:H69"/>
    <mergeCell ref="I68:J69"/>
    <mergeCell ref="K68:L69"/>
    <mergeCell ref="M68:N69"/>
    <mergeCell ref="O68:O69"/>
    <mergeCell ref="P68:Q69"/>
    <mergeCell ref="D66:Q66"/>
    <mergeCell ref="M54:N55"/>
    <mergeCell ref="O54:O55"/>
    <mergeCell ref="P54:Q55"/>
    <mergeCell ref="R54:S55"/>
    <mergeCell ref="B56:D57"/>
    <mergeCell ref="E56:H57"/>
    <mergeCell ref="I56:J57"/>
    <mergeCell ref="K56:L57"/>
    <mergeCell ref="M56:N57"/>
    <mergeCell ref="O56:O57"/>
    <mergeCell ref="P56:Q57"/>
    <mergeCell ref="R56:S57"/>
    <mergeCell ref="B50:D51"/>
    <mergeCell ref="E50:H51"/>
    <mergeCell ref="I50:J51"/>
    <mergeCell ref="K50:L51"/>
    <mergeCell ref="M50:N51"/>
    <mergeCell ref="O50:O51"/>
    <mergeCell ref="P50:Q51"/>
    <mergeCell ref="R50:S51"/>
    <mergeCell ref="B52:D53"/>
    <mergeCell ref="E52:H53"/>
    <mergeCell ref="I52:J53"/>
    <mergeCell ref="K52:L53"/>
    <mergeCell ref="M52:N53"/>
    <mergeCell ref="O52:O53"/>
    <mergeCell ref="P52:Q53"/>
    <mergeCell ref="R52:S53"/>
    <mergeCell ref="O46:O47"/>
    <mergeCell ref="P46:Q47"/>
    <mergeCell ref="R46:S47"/>
    <mergeCell ref="B48:D49"/>
    <mergeCell ref="E48:H49"/>
    <mergeCell ref="I48:J49"/>
    <mergeCell ref="K48:L49"/>
    <mergeCell ref="M48:N49"/>
    <mergeCell ref="O48:O49"/>
    <mergeCell ref="P48:Q49"/>
    <mergeCell ref="R48:S49"/>
    <mergeCell ref="R42:S43"/>
    <mergeCell ref="B44:D45"/>
    <mergeCell ref="E44:H45"/>
    <mergeCell ref="I44:J45"/>
    <mergeCell ref="K44:L45"/>
    <mergeCell ref="M44:N45"/>
    <mergeCell ref="O44:O45"/>
    <mergeCell ref="P44:Q45"/>
    <mergeCell ref="R44:S45"/>
    <mergeCell ref="D36:Q36"/>
    <mergeCell ref="D37:Q37"/>
    <mergeCell ref="D38:Q38"/>
    <mergeCell ref="D39:Q39"/>
    <mergeCell ref="B42:D43"/>
    <mergeCell ref="E42:H43"/>
    <mergeCell ref="I42:J43"/>
    <mergeCell ref="K42:L43"/>
    <mergeCell ref="M42:N43"/>
    <mergeCell ref="O42:O43"/>
    <mergeCell ref="P42:Q43"/>
    <mergeCell ref="D40:Q40"/>
    <mergeCell ref="P28:Q29"/>
    <mergeCell ref="R28:S29"/>
    <mergeCell ref="O28:O29"/>
    <mergeCell ref="B30:D31"/>
    <mergeCell ref="E30:H31"/>
    <mergeCell ref="I30:J31"/>
    <mergeCell ref="K30:L31"/>
    <mergeCell ref="M30:N31"/>
    <mergeCell ref="O30:O31"/>
    <mergeCell ref="P30:Q31"/>
    <mergeCell ref="R30:S31"/>
    <mergeCell ref="K24:L25"/>
    <mergeCell ref="M24:N25"/>
    <mergeCell ref="O24:O25"/>
    <mergeCell ref="P24:Q25"/>
    <mergeCell ref="R24:S25"/>
    <mergeCell ref="B26:D27"/>
    <mergeCell ref="E26:H27"/>
    <mergeCell ref="I26:J27"/>
    <mergeCell ref="K26:L27"/>
    <mergeCell ref="M26:N27"/>
    <mergeCell ref="P26:Q27"/>
    <mergeCell ref="R26:S27"/>
    <mergeCell ref="O26:O27"/>
    <mergeCell ref="B24:D25"/>
    <mergeCell ref="E24:H25"/>
    <mergeCell ref="I24:J25"/>
    <mergeCell ref="O20:O21"/>
    <mergeCell ref="P20:Q21"/>
    <mergeCell ref="R20:S21"/>
    <mergeCell ref="B22:D23"/>
    <mergeCell ref="E22:H23"/>
    <mergeCell ref="I22:J23"/>
    <mergeCell ref="K22:L23"/>
    <mergeCell ref="M22:N23"/>
    <mergeCell ref="O22:O23"/>
    <mergeCell ref="P22:Q23"/>
    <mergeCell ref="R22:S23"/>
    <mergeCell ref="M20:N21"/>
    <mergeCell ref="D11:Q11"/>
    <mergeCell ref="D12:Q12"/>
    <mergeCell ref="D13:Q13"/>
    <mergeCell ref="R16:S17"/>
    <mergeCell ref="B18:D19"/>
    <mergeCell ref="E18:H19"/>
    <mergeCell ref="I18:J19"/>
    <mergeCell ref="K18:L19"/>
    <mergeCell ref="M18:N19"/>
    <mergeCell ref="O18:O19"/>
    <mergeCell ref="P18:Q19"/>
    <mergeCell ref="R18:S19"/>
    <mergeCell ref="B16:D17"/>
    <mergeCell ref="E16:H17"/>
    <mergeCell ref="I16:J17"/>
    <mergeCell ref="P16:Q17"/>
    <mergeCell ref="D14:Q14"/>
    <mergeCell ref="B4:S6"/>
    <mergeCell ref="B7:S8"/>
    <mergeCell ref="D10:Q10"/>
    <mergeCell ref="K16:L17"/>
    <mergeCell ref="M16:N17"/>
    <mergeCell ref="O16:O17"/>
    <mergeCell ref="B54:D55"/>
    <mergeCell ref="E54:H55"/>
    <mergeCell ref="I54:J55"/>
    <mergeCell ref="K54:L55"/>
    <mergeCell ref="B46:D47"/>
    <mergeCell ref="E46:H47"/>
    <mergeCell ref="I46:J47"/>
    <mergeCell ref="K46:L47"/>
    <mergeCell ref="M46:N47"/>
    <mergeCell ref="B28:D29"/>
    <mergeCell ref="E28:H29"/>
    <mergeCell ref="I28:J29"/>
    <mergeCell ref="K28:L29"/>
    <mergeCell ref="M28:N29"/>
    <mergeCell ref="B20:D21"/>
    <mergeCell ref="E20:H21"/>
    <mergeCell ref="I20:J21"/>
    <mergeCell ref="K20:L21"/>
  </mergeCells>
  <pageMargins left="0.7" right="0.7" top="0.75" bottom="0.75" header="0.3" footer="0.3"/>
  <pageSetup scale="54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EE66A-34BC-42E3-9BF6-0289490E92B7}">
  <sheetPr>
    <pageSetUpPr fitToPage="1"/>
  </sheetPr>
  <dimension ref="A1:R529"/>
  <sheetViews>
    <sheetView tabSelected="1" zoomScale="70" zoomScaleNormal="70" workbookViewId="0">
      <selection activeCell="A8" sqref="A8:R8"/>
    </sheetView>
  </sheetViews>
  <sheetFormatPr defaultRowHeight="14.5" x14ac:dyDescent="0.35"/>
  <sheetData>
    <row r="1" spans="1:18" x14ac:dyDescent="0.35">
      <c r="A1" s="21" t="s">
        <v>11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x14ac:dyDescent="0.3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x14ac:dyDescent="0.3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x14ac:dyDescent="0.35">
      <c r="A4" s="22" t="s">
        <v>12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x14ac:dyDescent="0.3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x14ac:dyDescent="0.35">
      <c r="A6" s="126" t="s">
        <v>0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</row>
    <row r="7" spans="1:18" x14ac:dyDescent="0.35">
      <c r="A7" s="109"/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</row>
    <row r="8" spans="1:18" x14ac:dyDescent="0.35">
      <c r="A8" s="80" t="s">
        <v>13</v>
      </c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</row>
    <row r="9" spans="1:18" x14ac:dyDescent="0.35">
      <c r="A9" s="80" t="s">
        <v>93</v>
      </c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</row>
    <row r="10" spans="1:18" x14ac:dyDescent="0.35">
      <c r="A10" s="81" t="s">
        <v>251</v>
      </c>
      <c r="B10" s="82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</row>
    <row r="11" spans="1:18" ht="15" thickBot="1" x14ac:dyDescent="0.4">
      <c r="A11" s="49" t="s">
        <v>8</v>
      </c>
      <c r="B11" s="49"/>
      <c r="C11" s="26" t="s">
        <v>157</v>
      </c>
      <c r="D11" s="26"/>
      <c r="E11" s="26" t="s">
        <v>200</v>
      </c>
      <c r="F11" s="26"/>
      <c r="G11" s="26" t="s">
        <v>191</v>
      </c>
      <c r="H11" s="26"/>
      <c r="I11" s="26" t="s">
        <v>159</v>
      </c>
      <c r="J11" s="26"/>
      <c r="K11" s="26" t="s">
        <v>160</v>
      </c>
      <c r="L11" s="26"/>
      <c r="M11" s="26" t="s">
        <v>163</v>
      </c>
      <c r="N11" s="26"/>
      <c r="O11" s="26" t="s">
        <v>158</v>
      </c>
      <c r="P11" s="26"/>
      <c r="Q11" s="26" t="s">
        <v>164</v>
      </c>
      <c r="R11" s="26"/>
    </row>
    <row r="12" spans="1:18" x14ac:dyDescent="0.35">
      <c r="A12" s="106" t="s">
        <v>10</v>
      </c>
      <c r="B12" s="106"/>
      <c r="C12" s="107" t="s">
        <v>165</v>
      </c>
      <c r="D12" s="59"/>
      <c r="E12" s="85">
        <v>3000</v>
      </c>
      <c r="F12" s="59"/>
      <c r="G12" s="59">
        <v>1</v>
      </c>
      <c r="H12" s="59"/>
      <c r="I12" s="59">
        <v>10</v>
      </c>
      <c r="J12" s="59"/>
      <c r="K12" s="62">
        <f>((E12/30)/24)*I12</f>
        <v>41.666666666666671</v>
      </c>
      <c r="L12" s="59"/>
      <c r="M12" s="59">
        <v>2</v>
      </c>
      <c r="N12" s="59"/>
      <c r="O12" s="85">
        <f>(M12*E12*G12)+K12</f>
        <v>6041.666666666667</v>
      </c>
      <c r="P12" s="59"/>
      <c r="Q12" s="89">
        <f>(O12)/64000</f>
        <v>9.4401041666666671E-2</v>
      </c>
      <c r="R12" s="89"/>
    </row>
    <row r="13" spans="1:18" x14ac:dyDescent="0.35">
      <c r="A13" s="106"/>
      <c r="B13" s="106"/>
      <c r="C13" s="56" t="s">
        <v>166</v>
      </c>
      <c r="D13" s="61"/>
      <c r="E13" s="88">
        <v>2000</v>
      </c>
      <c r="F13" s="61"/>
      <c r="G13" s="60">
        <v>2</v>
      </c>
      <c r="H13" s="56"/>
      <c r="I13" s="61">
        <v>12</v>
      </c>
      <c r="J13" s="61"/>
      <c r="K13" s="62">
        <f t="shared" ref="K13:K17" si="0">((E13/30)/24)*I13</f>
        <v>33.333333333333336</v>
      </c>
      <c r="L13" s="59"/>
      <c r="M13" s="61">
        <v>2</v>
      </c>
      <c r="N13" s="61"/>
      <c r="O13" s="85">
        <f t="shared" ref="O13:O17" si="1">(M13*E13*G13)+K13</f>
        <v>8033.333333333333</v>
      </c>
      <c r="P13" s="59"/>
      <c r="Q13" s="89">
        <f t="shared" ref="Q13:Q17" si="2">(O13)/64000</f>
        <v>0.12552083333333333</v>
      </c>
      <c r="R13" s="89"/>
    </row>
    <row r="14" spans="1:18" x14ac:dyDescent="0.35">
      <c r="A14" s="106"/>
      <c r="B14" s="106"/>
      <c r="C14" s="56" t="s">
        <v>167</v>
      </c>
      <c r="D14" s="61"/>
      <c r="E14" s="88">
        <v>600</v>
      </c>
      <c r="F14" s="61"/>
      <c r="G14" s="60">
        <v>1</v>
      </c>
      <c r="H14" s="56"/>
      <c r="I14" s="61">
        <v>8</v>
      </c>
      <c r="J14" s="61"/>
      <c r="K14" s="62">
        <f t="shared" si="0"/>
        <v>6.666666666666667</v>
      </c>
      <c r="L14" s="59"/>
      <c r="M14" s="61">
        <v>2</v>
      </c>
      <c r="N14" s="61"/>
      <c r="O14" s="85">
        <f t="shared" si="1"/>
        <v>1206.6666666666667</v>
      </c>
      <c r="P14" s="59"/>
      <c r="Q14" s="89">
        <f t="shared" si="2"/>
        <v>1.8854166666666668E-2</v>
      </c>
      <c r="R14" s="89"/>
    </row>
    <row r="15" spans="1:18" x14ac:dyDescent="0.35">
      <c r="A15" s="106"/>
      <c r="B15" s="106"/>
      <c r="C15" s="56" t="s">
        <v>168</v>
      </c>
      <c r="D15" s="61"/>
      <c r="E15" s="88">
        <v>500</v>
      </c>
      <c r="F15" s="61"/>
      <c r="G15" s="60">
        <v>1</v>
      </c>
      <c r="H15" s="56"/>
      <c r="I15" s="61">
        <v>0</v>
      </c>
      <c r="J15" s="61"/>
      <c r="K15" s="62">
        <f t="shared" si="0"/>
        <v>0</v>
      </c>
      <c r="L15" s="59"/>
      <c r="M15" s="61">
        <v>2</v>
      </c>
      <c r="N15" s="61"/>
      <c r="O15" s="85">
        <f t="shared" si="1"/>
        <v>1000</v>
      </c>
      <c r="P15" s="59"/>
      <c r="Q15" s="89">
        <f t="shared" si="2"/>
        <v>1.5625E-2</v>
      </c>
      <c r="R15" s="89"/>
    </row>
    <row r="16" spans="1:18" x14ac:dyDescent="0.35">
      <c r="A16" s="106"/>
      <c r="B16" s="106"/>
      <c r="C16" s="56" t="s">
        <v>169</v>
      </c>
      <c r="D16" s="61"/>
      <c r="E16" s="88">
        <v>400</v>
      </c>
      <c r="F16" s="61"/>
      <c r="G16" s="60">
        <v>1</v>
      </c>
      <c r="H16" s="56"/>
      <c r="I16" s="61">
        <v>0</v>
      </c>
      <c r="J16" s="61"/>
      <c r="K16" s="62">
        <f t="shared" si="0"/>
        <v>0</v>
      </c>
      <c r="L16" s="59"/>
      <c r="M16" s="61">
        <v>2</v>
      </c>
      <c r="N16" s="61"/>
      <c r="O16" s="85">
        <f t="shared" si="1"/>
        <v>800</v>
      </c>
      <c r="P16" s="59"/>
      <c r="Q16" s="89">
        <f t="shared" si="2"/>
        <v>1.2500000000000001E-2</v>
      </c>
      <c r="R16" s="89"/>
    </row>
    <row r="17" spans="1:18" x14ac:dyDescent="0.35">
      <c r="A17" s="106"/>
      <c r="B17" s="106"/>
      <c r="C17" s="56" t="s">
        <v>201</v>
      </c>
      <c r="D17" s="61"/>
      <c r="E17" s="88">
        <v>800</v>
      </c>
      <c r="F17" s="61"/>
      <c r="G17" s="60">
        <v>1</v>
      </c>
      <c r="H17" s="56"/>
      <c r="I17" s="61">
        <v>0</v>
      </c>
      <c r="J17" s="61"/>
      <c r="K17" s="62">
        <f t="shared" si="0"/>
        <v>0</v>
      </c>
      <c r="L17" s="59"/>
      <c r="M17" s="61">
        <v>2</v>
      </c>
      <c r="N17" s="61"/>
      <c r="O17" s="85">
        <f t="shared" si="1"/>
        <v>1600</v>
      </c>
      <c r="P17" s="59"/>
      <c r="Q17" s="89">
        <f t="shared" si="2"/>
        <v>2.5000000000000001E-2</v>
      </c>
      <c r="R17" s="89"/>
    </row>
    <row r="18" spans="1:18" ht="15" thickBot="1" x14ac:dyDescent="0.4">
      <c r="A18" s="106"/>
      <c r="B18" s="106"/>
      <c r="C18" s="58" t="s">
        <v>2</v>
      </c>
      <c r="D18" s="58"/>
      <c r="E18" s="57">
        <f>SUM(E12:F17)</f>
        <v>7300</v>
      </c>
      <c r="F18" s="58"/>
      <c r="G18" s="58">
        <f>SUM(G12:H17)</f>
        <v>7</v>
      </c>
      <c r="H18" s="58"/>
      <c r="I18" s="58">
        <f>SUM(I12:J17)</f>
        <v>30</v>
      </c>
      <c r="J18" s="58"/>
      <c r="K18" s="99">
        <f>SUM(K12:L17)</f>
        <v>81.666666666666671</v>
      </c>
      <c r="L18" s="58"/>
      <c r="M18" s="58"/>
      <c r="N18" s="58"/>
      <c r="O18" s="57">
        <f>SUM(O12:P17)</f>
        <v>18681.666666666664</v>
      </c>
      <c r="P18" s="58"/>
      <c r="Q18" s="63">
        <f>SUM(Q12:R17)</f>
        <v>0.29190104166666669</v>
      </c>
      <c r="R18" s="58"/>
    </row>
    <row r="19" spans="1:18" ht="15.5" thickTop="1" thickBot="1" x14ac:dyDescent="0.4">
      <c r="A19" s="103" t="s">
        <v>190</v>
      </c>
      <c r="B19" s="104"/>
      <c r="C19" s="26" t="s">
        <v>4</v>
      </c>
      <c r="D19" s="26"/>
      <c r="E19" s="84" t="s">
        <v>6</v>
      </c>
      <c r="F19" s="84"/>
      <c r="G19" s="84"/>
      <c r="H19" s="84"/>
      <c r="I19" s="3" t="s">
        <v>180</v>
      </c>
      <c r="J19" s="3" t="s">
        <v>173</v>
      </c>
      <c r="K19" s="36" t="s">
        <v>174</v>
      </c>
      <c r="L19" s="36"/>
      <c r="M19" s="129" t="s">
        <v>175</v>
      </c>
      <c r="N19" s="129"/>
      <c r="O19" s="36" t="s">
        <v>172</v>
      </c>
      <c r="P19" s="36"/>
      <c r="Q19" s="36" t="s">
        <v>161</v>
      </c>
      <c r="R19" s="36"/>
    </row>
    <row r="20" spans="1:18" x14ac:dyDescent="0.35">
      <c r="A20" s="105"/>
      <c r="B20" s="105"/>
      <c r="C20" s="61" t="s">
        <v>210</v>
      </c>
      <c r="D20" s="61"/>
      <c r="E20" s="76" t="s">
        <v>211</v>
      </c>
      <c r="F20" s="52"/>
      <c r="G20" s="52"/>
      <c r="H20" s="53"/>
      <c r="I20" s="2">
        <v>5</v>
      </c>
      <c r="J20" s="4">
        <v>800</v>
      </c>
      <c r="K20" s="54">
        <f>(J20*I20)</f>
        <v>4000</v>
      </c>
      <c r="L20" s="56"/>
      <c r="M20" s="76" t="s">
        <v>237</v>
      </c>
      <c r="N20" s="53"/>
      <c r="O20" s="61" t="s">
        <v>236</v>
      </c>
      <c r="P20" s="61"/>
      <c r="Q20" s="79">
        <f>((K20)/64000)</f>
        <v>6.25E-2</v>
      </c>
      <c r="R20" s="79"/>
    </row>
    <row r="21" spans="1:18" x14ac:dyDescent="0.35">
      <c r="A21" s="105"/>
      <c r="B21" s="105"/>
      <c r="C21" s="61" t="s">
        <v>219</v>
      </c>
      <c r="D21" s="61"/>
      <c r="E21" s="131" t="s">
        <v>212</v>
      </c>
      <c r="F21" s="132"/>
      <c r="G21" s="132"/>
      <c r="H21" s="133"/>
      <c r="I21" s="2">
        <v>2</v>
      </c>
      <c r="J21" s="4">
        <v>600</v>
      </c>
      <c r="K21" s="54">
        <f t="shared" ref="K21:K25" si="3">(J21*I21)</f>
        <v>1200</v>
      </c>
      <c r="L21" s="56"/>
      <c r="M21" s="60" t="s">
        <v>237</v>
      </c>
      <c r="N21" s="56"/>
      <c r="O21" s="61" t="s">
        <v>236</v>
      </c>
      <c r="P21" s="61"/>
      <c r="Q21" s="79">
        <f t="shared" ref="Q21:Q25" si="4">((K21)/64000)</f>
        <v>1.8749999999999999E-2</v>
      </c>
      <c r="R21" s="79"/>
    </row>
    <row r="22" spans="1:18" x14ac:dyDescent="0.35">
      <c r="A22" s="105"/>
      <c r="B22" s="105"/>
      <c r="C22" s="61" t="s">
        <v>213</v>
      </c>
      <c r="D22" s="61"/>
      <c r="E22" s="60" t="s">
        <v>214</v>
      </c>
      <c r="F22" s="55"/>
      <c r="G22" s="55"/>
      <c r="H22" s="56"/>
      <c r="I22" s="2">
        <v>2</v>
      </c>
      <c r="J22" s="4">
        <v>60</v>
      </c>
      <c r="K22" s="54">
        <f t="shared" si="3"/>
        <v>120</v>
      </c>
      <c r="L22" s="56"/>
      <c r="M22" s="60" t="s">
        <v>237</v>
      </c>
      <c r="N22" s="56"/>
      <c r="O22" s="61" t="s">
        <v>236</v>
      </c>
      <c r="P22" s="61"/>
      <c r="Q22" s="79">
        <f t="shared" si="4"/>
        <v>1.8749999999999999E-3</v>
      </c>
      <c r="R22" s="79"/>
    </row>
    <row r="23" spans="1:18" x14ac:dyDescent="0.35">
      <c r="A23" s="105"/>
      <c r="B23" s="105"/>
      <c r="C23" s="61" t="s">
        <v>215</v>
      </c>
      <c r="D23" s="61"/>
      <c r="E23" s="60" t="s">
        <v>216</v>
      </c>
      <c r="F23" s="55"/>
      <c r="G23" s="55"/>
      <c r="H23" s="56"/>
      <c r="I23" s="2">
        <v>2</v>
      </c>
      <c r="J23" s="4">
        <v>100</v>
      </c>
      <c r="K23" s="54">
        <f t="shared" si="3"/>
        <v>200</v>
      </c>
      <c r="L23" s="56"/>
      <c r="M23" s="60" t="s">
        <v>237</v>
      </c>
      <c r="N23" s="56"/>
      <c r="O23" s="61" t="s">
        <v>236</v>
      </c>
      <c r="P23" s="61"/>
      <c r="Q23" s="79">
        <f t="shared" si="4"/>
        <v>3.1250000000000002E-3</v>
      </c>
      <c r="R23" s="79"/>
    </row>
    <row r="24" spans="1:18" x14ac:dyDescent="0.35">
      <c r="A24" s="105"/>
      <c r="B24" s="105"/>
      <c r="C24" s="61" t="s">
        <v>217</v>
      </c>
      <c r="D24" s="61"/>
      <c r="E24" s="60" t="s">
        <v>218</v>
      </c>
      <c r="F24" s="55"/>
      <c r="G24" s="55"/>
      <c r="H24" s="56"/>
      <c r="I24" s="2">
        <v>5</v>
      </c>
      <c r="J24" s="4">
        <v>8</v>
      </c>
      <c r="K24" s="54">
        <f t="shared" si="3"/>
        <v>40</v>
      </c>
      <c r="L24" s="56"/>
      <c r="M24" s="60" t="s">
        <v>237</v>
      </c>
      <c r="N24" s="56"/>
      <c r="O24" s="61" t="s">
        <v>236</v>
      </c>
      <c r="P24" s="61"/>
      <c r="Q24" s="79">
        <f t="shared" si="4"/>
        <v>6.2500000000000001E-4</v>
      </c>
      <c r="R24" s="79"/>
    </row>
    <row r="25" spans="1:18" x14ac:dyDescent="0.35">
      <c r="A25" s="105"/>
      <c r="B25" s="105"/>
      <c r="C25" s="61" t="s">
        <v>220</v>
      </c>
      <c r="D25" s="61"/>
      <c r="E25" s="60" t="s">
        <v>239</v>
      </c>
      <c r="F25" s="55"/>
      <c r="G25" s="55"/>
      <c r="H25" s="56"/>
      <c r="I25" s="2">
        <v>2</v>
      </c>
      <c r="J25" s="4">
        <v>100</v>
      </c>
      <c r="K25" s="54">
        <f t="shared" si="3"/>
        <v>200</v>
      </c>
      <c r="L25" s="56"/>
      <c r="M25" s="60" t="s">
        <v>238</v>
      </c>
      <c r="N25" s="56"/>
      <c r="O25" s="61" t="s">
        <v>236</v>
      </c>
      <c r="P25" s="61"/>
      <c r="Q25" s="79">
        <f t="shared" si="4"/>
        <v>3.1250000000000002E-3</v>
      </c>
      <c r="R25" s="79"/>
    </row>
    <row r="26" spans="1:18" ht="15" thickBot="1" x14ac:dyDescent="0.4">
      <c r="A26" s="105"/>
      <c r="B26" s="105"/>
      <c r="C26" s="58" t="s">
        <v>2</v>
      </c>
      <c r="D26" s="58"/>
      <c r="E26" s="58"/>
      <c r="F26" s="58"/>
      <c r="G26" s="58"/>
      <c r="H26" s="58"/>
      <c r="I26" s="6">
        <f>SUM(I20:I25)</f>
        <v>18</v>
      </c>
      <c r="J26" s="7">
        <f>SUM(J20:J25)</f>
        <v>1668</v>
      </c>
      <c r="K26" s="57">
        <f>SUM(K20:L25)</f>
        <v>5760</v>
      </c>
      <c r="L26" s="58"/>
      <c r="M26" s="58"/>
      <c r="N26" s="58"/>
      <c r="O26" s="58"/>
      <c r="P26" s="58"/>
      <c r="Q26" s="63">
        <f>SUM(Q20:R25)</f>
        <v>9.0000000000000011E-2</v>
      </c>
      <c r="R26" s="58"/>
    </row>
    <row r="27" spans="1:18" ht="15.5" thickTop="1" thickBot="1" x14ac:dyDescent="0.4">
      <c r="A27" s="102" t="s">
        <v>176</v>
      </c>
      <c r="B27" s="102"/>
      <c r="C27" s="26" t="s">
        <v>170</v>
      </c>
      <c r="D27" s="26"/>
      <c r="E27" s="26" t="s">
        <v>177</v>
      </c>
      <c r="F27" s="26"/>
      <c r="G27" s="26"/>
      <c r="H27" s="26"/>
      <c r="I27" s="36" t="s">
        <v>178</v>
      </c>
      <c r="J27" s="36"/>
      <c r="K27" s="26" t="s">
        <v>171</v>
      </c>
      <c r="L27" s="26"/>
      <c r="M27" s="36" t="s">
        <v>173</v>
      </c>
      <c r="N27" s="36"/>
      <c r="O27" s="36" t="s">
        <v>174</v>
      </c>
      <c r="P27" s="36"/>
      <c r="Q27" s="26" t="s">
        <v>161</v>
      </c>
      <c r="R27" s="26"/>
    </row>
    <row r="28" spans="1:18" x14ac:dyDescent="0.35">
      <c r="A28" s="102"/>
      <c r="B28" s="102"/>
      <c r="C28" s="59" t="s">
        <v>221</v>
      </c>
      <c r="D28" s="59"/>
      <c r="E28" s="59" t="s">
        <v>222</v>
      </c>
      <c r="F28" s="59"/>
      <c r="G28" s="59"/>
      <c r="H28" s="59"/>
      <c r="I28" s="59" t="s">
        <v>249</v>
      </c>
      <c r="J28" s="59"/>
      <c r="K28" s="59">
        <v>2</v>
      </c>
      <c r="L28" s="59"/>
      <c r="M28" s="85">
        <v>150</v>
      </c>
      <c r="N28" s="59"/>
      <c r="O28" s="85">
        <f>(M28*K28)</f>
        <v>300</v>
      </c>
      <c r="P28" s="59"/>
      <c r="Q28" s="89">
        <f>(O28)/64000</f>
        <v>4.6874999999999998E-3</v>
      </c>
      <c r="R28" s="89"/>
    </row>
    <row r="29" spans="1:18" ht="30" customHeight="1" x14ac:dyDescent="0.35">
      <c r="A29" s="102"/>
      <c r="B29" s="102"/>
      <c r="C29" s="128" t="s">
        <v>240</v>
      </c>
      <c r="D29" s="128"/>
      <c r="E29" s="61" t="s">
        <v>241</v>
      </c>
      <c r="F29" s="61"/>
      <c r="G29" s="61"/>
      <c r="H29" s="61"/>
      <c r="I29" s="61" t="s">
        <v>249</v>
      </c>
      <c r="J29" s="61"/>
      <c r="K29" s="61">
        <v>4</v>
      </c>
      <c r="L29" s="61"/>
      <c r="M29" s="88">
        <v>500</v>
      </c>
      <c r="N29" s="61"/>
      <c r="O29" s="85">
        <f t="shared" ref="O29:O31" si="5">(M29*K29)</f>
        <v>2000</v>
      </c>
      <c r="P29" s="59"/>
      <c r="Q29" s="89">
        <f t="shared" ref="Q29:Q31" si="6">(O29)/64000</f>
        <v>3.125E-2</v>
      </c>
      <c r="R29" s="89"/>
    </row>
    <row r="30" spans="1:18" x14ac:dyDescent="0.35">
      <c r="A30" s="102"/>
      <c r="B30" s="102"/>
      <c r="C30" s="61" t="s">
        <v>242</v>
      </c>
      <c r="D30" s="61"/>
      <c r="E30" s="61" t="s">
        <v>243</v>
      </c>
      <c r="F30" s="61"/>
      <c r="G30" s="61"/>
      <c r="H30" s="61"/>
      <c r="I30" s="61" t="s">
        <v>249</v>
      </c>
      <c r="J30" s="61"/>
      <c r="K30" s="61">
        <v>2</v>
      </c>
      <c r="L30" s="61"/>
      <c r="M30" s="88">
        <v>700</v>
      </c>
      <c r="N30" s="61"/>
      <c r="O30" s="85">
        <f t="shared" si="5"/>
        <v>1400</v>
      </c>
      <c r="P30" s="59"/>
      <c r="Q30" s="89">
        <f t="shared" si="6"/>
        <v>2.1874999999999999E-2</v>
      </c>
      <c r="R30" s="89"/>
    </row>
    <row r="31" spans="1:18" x14ac:dyDescent="0.35">
      <c r="A31" s="102"/>
      <c r="B31" s="102"/>
      <c r="C31" s="61" t="s">
        <v>280</v>
      </c>
      <c r="D31" s="61"/>
      <c r="E31" s="61" t="s">
        <v>281</v>
      </c>
      <c r="F31" s="61"/>
      <c r="G31" s="61"/>
      <c r="H31" s="61"/>
      <c r="I31" s="61" t="s">
        <v>282</v>
      </c>
      <c r="J31" s="61"/>
      <c r="K31" s="61">
        <v>2</v>
      </c>
      <c r="L31" s="61"/>
      <c r="M31" s="88">
        <v>300</v>
      </c>
      <c r="N31" s="61"/>
      <c r="O31" s="85">
        <f t="shared" si="5"/>
        <v>600</v>
      </c>
      <c r="P31" s="59"/>
      <c r="Q31" s="89">
        <f t="shared" si="6"/>
        <v>9.3749999999999997E-3</v>
      </c>
      <c r="R31" s="89"/>
    </row>
    <row r="32" spans="1:18" ht="15" thickBot="1" x14ac:dyDescent="0.4">
      <c r="A32" s="102"/>
      <c r="B32" s="102"/>
      <c r="C32" s="58" t="s">
        <v>2</v>
      </c>
      <c r="D32" s="58"/>
      <c r="E32" s="58"/>
      <c r="F32" s="58"/>
      <c r="G32" s="58"/>
      <c r="H32" s="58"/>
      <c r="I32" s="58"/>
      <c r="J32" s="58"/>
      <c r="K32" s="58">
        <f>SUM(K28:L31)</f>
        <v>10</v>
      </c>
      <c r="L32" s="58"/>
      <c r="M32" s="58">
        <f>SUM(M28:N31)</f>
        <v>1650</v>
      </c>
      <c r="N32" s="58"/>
      <c r="O32" s="57">
        <f>SUM(O28:P31)</f>
        <v>4300</v>
      </c>
      <c r="P32" s="58"/>
      <c r="Q32" s="63">
        <f>SUM(Q28:R31)</f>
        <v>6.7187499999999997E-2</v>
      </c>
      <c r="R32" s="58"/>
    </row>
    <row r="33" spans="1:18" ht="15.5" thickTop="1" thickBot="1" x14ac:dyDescent="0.4">
      <c r="A33" s="100" t="s">
        <v>179</v>
      </c>
      <c r="B33" s="101"/>
      <c r="C33" s="26" t="s">
        <v>4</v>
      </c>
      <c r="D33" s="26"/>
      <c r="E33" s="26" t="s">
        <v>6</v>
      </c>
      <c r="F33" s="26"/>
      <c r="G33" s="26"/>
      <c r="H33" s="26"/>
      <c r="I33" s="26" t="s">
        <v>180</v>
      </c>
      <c r="J33" s="26"/>
      <c r="K33" s="26" t="s">
        <v>163</v>
      </c>
      <c r="L33" s="26"/>
      <c r="M33" s="36" t="s">
        <v>173</v>
      </c>
      <c r="N33" s="36"/>
      <c r="O33" s="36" t="s">
        <v>174</v>
      </c>
      <c r="P33" s="36"/>
      <c r="Q33" s="127" t="s">
        <v>161</v>
      </c>
      <c r="R33" s="127"/>
    </row>
    <row r="34" spans="1:18" x14ac:dyDescent="0.35">
      <c r="A34" s="101"/>
      <c r="B34" s="101"/>
      <c r="C34" s="59" t="s">
        <v>181</v>
      </c>
      <c r="D34" s="59"/>
      <c r="E34" s="59" t="s">
        <v>223</v>
      </c>
      <c r="F34" s="59"/>
      <c r="G34" s="59"/>
      <c r="H34" s="59"/>
      <c r="I34" s="115"/>
      <c r="J34" s="115"/>
      <c r="K34" s="59">
        <v>2</v>
      </c>
      <c r="L34" s="59"/>
      <c r="M34" s="85">
        <v>4000</v>
      </c>
      <c r="N34" s="59"/>
      <c r="O34" s="85">
        <f>(M34*K34)</f>
        <v>8000</v>
      </c>
      <c r="P34" s="59"/>
      <c r="Q34" s="70">
        <f>(O34)/64000</f>
        <v>0.125</v>
      </c>
      <c r="R34" s="72"/>
    </row>
    <row r="35" spans="1:18" x14ac:dyDescent="0.35">
      <c r="A35" s="101"/>
      <c r="B35" s="101"/>
      <c r="C35" s="61" t="s">
        <v>182</v>
      </c>
      <c r="D35" s="61"/>
      <c r="E35" s="61" t="s">
        <v>224</v>
      </c>
      <c r="F35" s="61"/>
      <c r="G35" s="61"/>
      <c r="H35" s="61"/>
      <c r="I35" s="113"/>
      <c r="J35" s="113"/>
      <c r="K35" s="61">
        <v>2</v>
      </c>
      <c r="L35" s="61"/>
      <c r="M35" s="88">
        <v>1000</v>
      </c>
      <c r="N35" s="61"/>
      <c r="O35" s="85">
        <f t="shared" ref="O35:O40" si="7">(M35*K35)</f>
        <v>2000</v>
      </c>
      <c r="P35" s="59"/>
      <c r="Q35" s="70">
        <f t="shared" ref="Q35:Q40" si="8">(O35)/64000</f>
        <v>3.125E-2</v>
      </c>
      <c r="R35" s="72"/>
    </row>
    <row r="36" spans="1:18" x14ac:dyDescent="0.35">
      <c r="A36" s="101"/>
      <c r="B36" s="101"/>
      <c r="C36" s="61" t="s">
        <v>183</v>
      </c>
      <c r="D36" s="61"/>
      <c r="E36" s="61" t="s">
        <v>244</v>
      </c>
      <c r="F36" s="61"/>
      <c r="G36" s="61"/>
      <c r="H36" s="61"/>
      <c r="I36" s="113"/>
      <c r="J36" s="113"/>
      <c r="K36" s="61">
        <v>2</v>
      </c>
      <c r="L36" s="61"/>
      <c r="M36" s="88">
        <v>1000</v>
      </c>
      <c r="N36" s="61"/>
      <c r="O36" s="85">
        <f t="shared" si="7"/>
        <v>2000</v>
      </c>
      <c r="P36" s="59"/>
      <c r="Q36" s="70">
        <f t="shared" si="8"/>
        <v>3.125E-2</v>
      </c>
      <c r="R36" s="72"/>
    </row>
    <row r="37" spans="1:18" x14ac:dyDescent="0.35">
      <c r="A37" s="101"/>
      <c r="B37" s="101"/>
      <c r="C37" s="61" t="s">
        <v>184</v>
      </c>
      <c r="D37" s="61"/>
      <c r="E37" s="61" t="s">
        <v>245</v>
      </c>
      <c r="F37" s="61"/>
      <c r="G37" s="61"/>
      <c r="H37" s="61"/>
      <c r="I37" s="113"/>
      <c r="J37" s="113"/>
      <c r="K37" s="61">
        <v>2</v>
      </c>
      <c r="L37" s="61"/>
      <c r="M37" s="88">
        <v>200</v>
      </c>
      <c r="N37" s="61"/>
      <c r="O37" s="85">
        <f t="shared" si="7"/>
        <v>400</v>
      </c>
      <c r="P37" s="59"/>
      <c r="Q37" s="70">
        <f t="shared" si="8"/>
        <v>6.2500000000000003E-3</v>
      </c>
      <c r="R37" s="72"/>
    </row>
    <row r="38" spans="1:18" x14ac:dyDescent="0.35">
      <c r="A38" s="101"/>
      <c r="B38" s="101"/>
      <c r="C38" s="61" t="s">
        <v>185</v>
      </c>
      <c r="D38" s="61"/>
      <c r="E38" s="61" t="s">
        <v>246</v>
      </c>
      <c r="F38" s="61"/>
      <c r="G38" s="61"/>
      <c r="H38" s="61"/>
      <c r="I38" s="113"/>
      <c r="J38" s="113"/>
      <c r="K38" s="61">
        <v>2</v>
      </c>
      <c r="L38" s="61"/>
      <c r="M38" s="88">
        <v>1500</v>
      </c>
      <c r="N38" s="61"/>
      <c r="O38" s="85">
        <f t="shared" si="7"/>
        <v>3000</v>
      </c>
      <c r="P38" s="59"/>
      <c r="Q38" s="70">
        <f t="shared" si="8"/>
        <v>4.6875E-2</v>
      </c>
      <c r="R38" s="72"/>
    </row>
    <row r="39" spans="1:18" x14ac:dyDescent="0.35">
      <c r="A39" s="101"/>
      <c r="B39" s="101"/>
      <c r="C39" s="61" t="s">
        <v>186</v>
      </c>
      <c r="D39" s="61"/>
      <c r="E39" s="61" t="s">
        <v>247</v>
      </c>
      <c r="F39" s="61"/>
      <c r="G39" s="61"/>
      <c r="H39" s="61"/>
      <c r="I39" s="113"/>
      <c r="J39" s="113"/>
      <c r="K39" s="61">
        <v>2</v>
      </c>
      <c r="L39" s="61"/>
      <c r="M39" s="88">
        <v>600</v>
      </c>
      <c r="N39" s="61"/>
      <c r="O39" s="85">
        <f t="shared" si="7"/>
        <v>1200</v>
      </c>
      <c r="P39" s="59"/>
      <c r="Q39" s="70">
        <f t="shared" si="8"/>
        <v>1.8749999999999999E-2</v>
      </c>
      <c r="R39" s="72"/>
    </row>
    <row r="40" spans="1:18" x14ac:dyDescent="0.35">
      <c r="A40" s="101"/>
      <c r="B40" s="101"/>
      <c r="C40" s="61" t="s">
        <v>189</v>
      </c>
      <c r="D40" s="61"/>
      <c r="E40" s="60" t="s">
        <v>248</v>
      </c>
      <c r="F40" s="55"/>
      <c r="G40" s="55"/>
      <c r="H40" s="56"/>
      <c r="I40" s="86"/>
      <c r="J40" s="87"/>
      <c r="K40" s="60">
        <v>2</v>
      </c>
      <c r="L40" s="56"/>
      <c r="M40" s="54">
        <v>1000</v>
      </c>
      <c r="N40" s="56"/>
      <c r="O40" s="85">
        <f t="shared" si="7"/>
        <v>2000</v>
      </c>
      <c r="P40" s="59"/>
      <c r="Q40" s="70">
        <f t="shared" si="8"/>
        <v>3.125E-2</v>
      </c>
      <c r="R40" s="72"/>
    </row>
    <row r="41" spans="1:18" ht="15" thickBot="1" x14ac:dyDescent="0.4">
      <c r="A41" s="5"/>
      <c r="B41" s="5"/>
      <c r="C41" s="58" t="s">
        <v>2</v>
      </c>
      <c r="D41" s="58"/>
      <c r="E41" s="58"/>
      <c r="F41" s="58"/>
      <c r="G41" s="58"/>
      <c r="H41" s="58"/>
      <c r="I41" s="58">
        <f>SUM(I34:J40)</f>
        <v>0</v>
      </c>
      <c r="J41" s="58"/>
      <c r="K41" s="58"/>
      <c r="L41" s="58"/>
      <c r="M41" s="57">
        <f>SUM(M34:N40)</f>
        <v>9300</v>
      </c>
      <c r="N41" s="58"/>
      <c r="O41" s="57">
        <f>SUM(O34:P40)</f>
        <v>18600</v>
      </c>
      <c r="P41" s="58"/>
      <c r="Q41" s="130">
        <f>SUM(Q34:R40)</f>
        <v>0.29062500000000002</v>
      </c>
      <c r="R41" s="130"/>
    </row>
    <row r="42" spans="1:18" ht="15" thickBot="1" x14ac:dyDescent="0.4">
      <c r="A42" s="94" t="s">
        <v>192</v>
      </c>
      <c r="B42" s="95"/>
      <c r="C42" s="26" t="s">
        <v>4</v>
      </c>
      <c r="D42" s="26"/>
      <c r="E42" s="26" t="s">
        <v>6</v>
      </c>
      <c r="F42" s="26"/>
      <c r="G42" s="26"/>
      <c r="H42" s="26"/>
      <c r="I42" s="26" t="s">
        <v>283</v>
      </c>
      <c r="J42" s="26"/>
      <c r="K42" s="26" t="s">
        <v>193</v>
      </c>
      <c r="L42" s="26"/>
      <c r="M42" s="26" t="s">
        <v>194</v>
      </c>
      <c r="N42" s="26"/>
      <c r="O42" s="26" t="s">
        <v>174</v>
      </c>
      <c r="P42" s="26"/>
      <c r="Q42" s="26" t="s">
        <v>161</v>
      </c>
      <c r="R42" s="26"/>
    </row>
    <row r="43" spans="1:18" x14ac:dyDescent="0.35">
      <c r="A43" s="95"/>
      <c r="B43" s="95"/>
      <c r="C43" s="59" t="s">
        <v>257</v>
      </c>
      <c r="D43" s="59"/>
      <c r="E43" s="59" t="s">
        <v>258</v>
      </c>
      <c r="F43" s="59"/>
      <c r="G43" s="59"/>
      <c r="H43" s="59"/>
      <c r="I43" s="59">
        <v>20</v>
      </c>
      <c r="J43" s="59"/>
      <c r="K43" s="59" t="s">
        <v>259</v>
      </c>
      <c r="L43" s="59"/>
      <c r="M43" s="85">
        <v>80</v>
      </c>
      <c r="N43" s="59"/>
      <c r="O43" s="85">
        <f>(M43*I43)</f>
        <v>1600</v>
      </c>
      <c r="P43" s="59"/>
      <c r="Q43" s="89">
        <f>(O43)/64000</f>
        <v>2.5000000000000001E-2</v>
      </c>
      <c r="R43" s="89"/>
    </row>
    <row r="44" spans="1:18" x14ac:dyDescent="0.35">
      <c r="A44" s="95"/>
      <c r="B44" s="95"/>
      <c r="C44" s="61" t="s">
        <v>225</v>
      </c>
      <c r="D44" s="61"/>
      <c r="E44" s="61" t="s">
        <v>265</v>
      </c>
      <c r="F44" s="61"/>
      <c r="G44" s="61"/>
      <c r="H44" s="61"/>
      <c r="I44" s="61">
        <v>10</v>
      </c>
      <c r="J44" s="61"/>
      <c r="K44" s="61" t="s">
        <v>266</v>
      </c>
      <c r="L44" s="61"/>
      <c r="M44" s="88">
        <v>50</v>
      </c>
      <c r="N44" s="61"/>
      <c r="O44" s="85">
        <f t="shared" ref="O44:O47" si="9">(M44*I44)</f>
        <v>500</v>
      </c>
      <c r="P44" s="59"/>
      <c r="Q44" s="89">
        <f t="shared" ref="Q44:Q47" si="10">(O44)/64000</f>
        <v>7.8125E-3</v>
      </c>
      <c r="R44" s="89"/>
    </row>
    <row r="45" spans="1:18" x14ac:dyDescent="0.35">
      <c r="A45" s="95"/>
      <c r="B45" s="95"/>
      <c r="C45" s="61" t="s">
        <v>260</v>
      </c>
      <c r="D45" s="61"/>
      <c r="E45" s="61" t="s">
        <v>261</v>
      </c>
      <c r="F45" s="61"/>
      <c r="G45" s="61"/>
      <c r="H45" s="61"/>
      <c r="I45" s="61">
        <v>2</v>
      </c>
      <c r="J45" s="61"/>
      <c r="K45" s="61" t="s">
        <v>262</v>
      </c>
      <c r="L45" s="61"/>
      <c r="M45" s="88">
        <v>600</v>
      </c>
      <c r="N45" s="61"/>
      <c r="O45" s="85">
        <f t="shared" si="9"/>
        <v>1200</v>
      </c>
      <c r="P45" s="59"/>
      <c r="Q45" s="89">
        <f t="shared" si="10"/>
        <v>1.8749999999999999E-2</v>
      </c>
      <c r="R45" s="89"/>
    </row>
    <row r="46" spans="1:18" x14ac:dyDescent="0.35">
      <c r="A46" s="95"/>
      <c r="B46" s="95"/>
      <c r="C46" s="61" t="s">
        <v>263</v>
      </c>
      <c r="D46" s="61"/>
      <c r="E46" s="61" t="s">
        <v>264</v>
      </c>
      <c r="F46" s="61"/>
      <c r="G46" s="61"/>
      <c r="H46" s="61"/>
      <c r="I46" s="61">
        <v>10</v>
      </c>
      <c r="J46" s="61"/>
      <c r="K46" s="61" t="s">
        <v>404</v>
      </c>
      <c r="L46" s="61"/>
      <c r="M46" s="88">
        <v>700</v>
      </c>
      <c r="N46" s="61"/>
      <c r="O46" s="85">
        <f t="shared" si="9"/>
        <v>7000</v>
      </c>
      <c r="P46" s="59"/>
      <c r="Q46" s="89">
        <f t="shared" si="10"/>
        <v>0.109375</v>
      </c>
      <c r="R46" s="89"/>
    </row>
    <row r="47" spans="1:18" x14ac:dyDescent="0.35">
      <c r="A47" s="95"/>
      <c r="B47" s="95"/>
      <c r="C47" s="61" t="s">
        <v>267</v>
      </c>
      <c r="D47" s="61"/>
      <c r="E47" s="61" t="s">
        <v>268</v>
      </c>
      <c r="F47" s="61"/>
      <c r="G47" s="61"/>
      <c r="H47" s="61"/>
      <c r="I47" s="61">
        <v>60</v>
      </c>
      <c r="J47" s="61"/>
      <c r="K47" s="61" t="s">
        <v>269</v>
      </c>
      <c r="L47" s="61"/>
      <c r="M47" s="88">
        <v>25</v>
      </c>
      <c r="N47" s="61"/>
      <c r="O47" s="85">
        <f t="shared" si="9"/>
        <v>1500</v>
      </c>
      <c r="P47" s="59"/>
      <c r="Q47" s="89">
        <f t="shared" si="10"/>
        <v>2.34375E-2</v>
      </c>
      <c r="R47" s="89"/>
    </row>
    <row r="48" spans="1:18" ht="15" thickBot="1" x14ac:dyDescent="0.4">
      <c r="A48" s="95"/>
      <c r="B48" s="95"/>
      <c r="C48" s="58" t="s">
        <v>2</v>
      </c>
      <c r="D48" s="58"/>
      <c r="E48" s="58"/>
      <c r="F48" s="58"/>
      <c r="G48" s="58"/>
      <c r="H48" s="58"/>
      <c r="I48" s="58">
        <f>SUM(I43:J47)</f>
        <v>102</v>
      </c>
      <c r="J48" s="58"/>
      <c r="K48" s="58"/>
      <c r="L48" s="58"/>
      <c r="M48" s="124">
        <f>SUM(M43:N47)</f>
        <v>1455</v>
      </c>
      <c r="N48" s="125"/>
      <c r="O48" s="57">
        <f>SUM(O43:P47)</f>
        <v>11800</v>
      </c>
      <c r="P48" s="58"/>
      <c r="Q48" s="63">
        <f>SUM(Q43:R47)</f>
        <v>0.18437500000000001</v>
      </c>
      <c r="R48" s="58"/>
    </row>
    <row r="49" spans="1:18" ht="15.5" thickTop="1" thickBot="1" x14ac:dyDescent="0.4">
      <c r="A49" s="93" t="s">
        <v>42</v>
      </c>
      <c r="B49" s="93"/>
      <c r="C49" s="26" t="s">
        <v>195</v>
      </c>
      <c r="D49" s="26"/>
      <c r="E49" s="26" t="s">
        <v>6</v>
      </c>
      <c r="F49" s="26"/>
      <c r="G49" s="26"/>
      <c r="H49" s="26"/>
      <c r="I49" s="84" t="s">
        <v>194</v>
      </c>
      <c r="J49" s="84"/>
      <c r="K49" s="84"/>
      <c r="L49" s="84"/>
      <c r="M49" s="26" t="s">
        <v>174</v>
      </c>
      <c r="N49" s="26"/>
      <c r="O49" s="26" t="s">
        <v>161</v>
      </c>
      <c r="P49" s="26"/>
      <c r="Q49" s="26"/>
      <c r="R49" s="26"/>
    </row>
    <row r="50" spans="1:18" x14ac:dyDescent="0.35">
      <c r="A50" s="93"/>
      <c r="B50" s="93"/>
      <c r="C50" s="59" t="s">
        <v>196</v>
      </c>
      <c r="D50" s="59"/>
      <c r="E50" s="59" t="s">
        <v>398</v>
      </c>
      <c r="F50" s="59"/>
      <c r="G50" s="59"/>
      <c r="H50" s="59"/>
      <c r="I50" s="51">
        <v>4000</v>
      </c>
      <c r="J50" s="52"/>
      <c r="K50" s="52"/>
      <c r="L50" s="53"/>
      <c r="M50" s="85">
        <v>4000</v>
      </c>
      <c r="N50" s="59"/>
      <c r="O50" s="70">
        <f>(M50)/64000</f>
        <v>6.25E-2</v>
      </c>
      <c r="P50" s="71"/>
      <c r="Q50" s="71"/>
      <c r="R50" s="72"/>
    </row>
    <row r="51" spans="1:18" x14ac:dyDescent="0.35">
      <c r="A51" s="93"/>
      <c r="B51" s="93"/>
      <c r="C51" s="61" t="s">
        <v>197</v>
      </c>
      <c r="D51" s="61"/>
      <c r="E51" s="61" t="s">
        <v>399</v>
      </c>
      <c r="F51" s="61"/>
      <c r="G51" s="61"/>
      <c r="H51" s="61"/>
      <c r="I51" s="54">
        <v>4000</v>
      </c>
      <c r="J51" s="55"/>
      <c r="K51" s="55"/>
      <c r="L51" s="56"/>
      <c r="M51" s="88">
        <v>4000</v>
      </c>
      <c r="N51" s="61"/>
      <c r="O51" s="70">
        <f t="shared" ref="O51:O53" si="11">(M51)/64000</f>
        <v>6.25E-2</v>
      </c>
      <c r="P51" s="71"/>
      <c r="Q51" s="71"/>
      <c r="R51" s="72"/>
    </row>
    <row r="52" spans="1:18" x14ac:dyDescent="0.35">
      <c r="A52" s="93"/>
      <c r="B52" s="93"/>
      <c r="C52" s="61" t="s">
        <v>198</v>
      </c>
      <c r="D52" s="61"/>
      <c r="E52" s="61" t="s">
        <v>400</v>
      </c>
      <c r="F52" s="61"/>
      <c r="G52" s="61"/>
      <c r="H52" s="61"/>
      <c r="I52" s="54">
        <v>3500</v>
      </c>
      <c r="J52" s="55"/>
      <c r="K52" s="55"/>
      <c r="L52" s="56"/>
      <c r="M52" s="88">
        <v>3500</v>
      </c>
      <c r="N52" s="61"/>
      <c r="O52" s="70">
        <f t="shared" si="11"/>
        <v>5.46875E-2</v>
      </c>
      <c r="P52" s="71"/>
      <c r="Q52" s="71"/>
      <c r="R52" s="72"/>
    </row>
    <row r="53" spans="1:18" x14ac:dyDescent="0.35">
      <c r="A53" s="93"/>
      <c r="B53" s="93"/>
      <c r="C53" s="123" t="s">
        <v>199</v>
      </c>
      <c r="D53" s="123"/>
      <c r="E53" s="123" t="s">
        <v>401</v>
      </c>
      <c r="F53" s="123"/>
      <c r="G53" s="123"/>
      <c r="H53" s="123"/>
      <c r="I53" s="96">
        <v>2500</v>
      </c>
      <c r="J53" s="97"/>
      <c r="K53" s="97"/>
      <c r="L53" s="98"/>
      <c r="M53" s="122">
        <v>2500</v>
      </c>
      <c r="N53" s="123"/>
      <c r="O53" s="70">
        <f t="shared" si="11"/>
        <v>3.90625E-2</v>
      </c>
      <c r="P53" s="71"/>
      <c r="Q53" s="71"/>
      <c r="R53" s="72"/>
    </row>
    <row r="54" spans="1:18" ht="15" thickBot="1" x14ac:dyDescent="0.4">
      <c r="A54" s="93"/>
      <c r="B54" s="93"/>
      <c r="C54" s="58" t="s">
        <v>2</v>
      </c>
      <c r="D54" s="58"/>
      <c r="E54" s="58"/>
      <c r="F54" s="58"/>
      <c r="G54" s="58"/>
      <c r="H54" s="58"/>
      <c r="I54" s="57">
        <f>SUM(I50:L53)</f>
        <v>14000</v>
      </c>
      <c r="J54" s="58"/>
      <c r="K54" s="58"/>
      <c r="L54" s="58"/>
      <c r="M54" s="57">
        <f>SUM(M50:N53)</f>
        <v>14000</v>
      </c>
      <c r="N54" s="58"/>
      <c r="O54" s="63">
        <f>SUM(O50:R53)</f>
        <v>0.21875</v>
      </c>
      <c r="P54" s="58"/>
      <c r="Q54" s="58"/>
      <c r="R54" s="58"/>
    </row>
    <row r="55" spans="1:18" ht="15" thickBot="1" x14ac:dyDescent="0.4"/>
    <row r="78" spans="1:18" x14ac:dyDescent="0.35">
      <c r="A78" s="108" t="s">
        <v>45</v>
      </c>
      <c r="B78" s="109"/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</row>
    <row r="79" spans="1:18" x14ac:dyDescent="0.35">
      <c r="A79" s="109"/>
      <c r="B79" s="109"/>
      <c r="C79" s="109"/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</row>
    <row r="80" spans="1:18" x14ac:dyDescent="0.35">
      <c r="A80" s="80" t="s">
        <v>46</v>
      </c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</row>
    <row r="81" spans="1:18" x14ac:dyDescent="0.35">
      <c r="A81" s="80" t="s">
        <v>92</v>
      </c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</row>
    <row r="82" spans="1:18" x14ac:dyDescent="0.35">
      <c r="A82" s="81" t="s">
        <v>252</v>
      </c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</row>
    <row r="83" spans="1:18" x14ac:dyDescent="0.35">
      <c r="A83" s="83" t="s">
        <v>8</v>
      </c>
      <c r="B83" s="83"/>
      <c r="C83" s="26" t="s">
        <v>157</v>
      </c>
      <c r="D83" s="26"/>
      <c r="E83" s="26" t="s">
        <v>162</v>
      </c>
      <c r="F83" s="26"/>
      <c r="G83" s="26" t="s">
        <v>191</v>
      </c>
      <c r="H83" s="26"/>
      <c r="I83" s="26" t="s">
        <v>159</v>
      </c>
      <c r="J83" s="26"/>
      <c r="K83" s="26" t="s">
        <v>160</v>
      </c>
      <c r="L83" s="26"/>
      <c r="M83" s="26" t="s">
        <v>163</v>
      </c>
      <c r="N83" s="26"/>
      <c r="O83" s="26" t="s">
        <v>158</v>
      </c>
      <c r="P83" s="26"/>
      <c r="Q83" s="26" t="s">
        <v>164</v>
      </c>
      <c r="R83" s="26"/>
    </row>
    <row r="84" spans="1:18" x14ac:dyDescent="0.35">
      <c r="A84" s="106" t="s">
        <v>10</v>
      </c>
      <c r="B84" s="106"/>
      <c r="C84" s="107" t="s">
        <v>165</v>
      </c>
      <c r="D84" s="59"/>
      <c r="E84" s="85">
        <v>3000</v>
      </c>
      <c r="F84" s="59"/>
      <c r="G84" s="59">
        <v>1</v>
      </c>
      <c r="H84" s="59"/>
      <c r="I84" s="59">
        <v>7</v>
      </c>
      <c r="J84" s="59"/>
      <c r="K84" s="62">
        <f>((E84/30)/24)*I84</f>
        <v>29.166666666666668</v>
      </c>
      <c r="L84" s="59"/>
      <c r="M84" s="59">
        <v>1.5</v>
      </c>
      <c r="N84" s="59"/>
      <c r="O84" s="62">
        <f>(E84*M84*G84)+K84</f>
        <v>4529.166666666667</v>
      </c>
      <c r="P84" s="59"/>
      <c r="Q84" s="89">
        <f>(O84)/114000</f>
        <v>3.9729532163742691E-2</v>
      </c>
      <c r="R84" s="89"/>
    </row>
    <row r="85" spans="1:18" x14ac:dyDescent="0.35">
      <c r="A85" s="106"/>
      <c r="B85" s="106"/>
      <c r="C85" s="56" t="s">
        <v>202</v>
      </c>
      <c r="D85" s="61"/>
      <c r="E85" s="88">
        <v>1500</v>
      </c>
      <c r="F85" s="61"/>
      <c r="G85" s="61">
        <v>1</v>
      </c>
      <c r="H85" s="61"/>
      <c r="I85" s="61">
        <v>8</v>
      </c>
      <c r="J85" s="61"/>
      <c r="K85" s="62">
        <f t="shared" ref="K85:K90" si="12">((E85/30)/24)*I85</f>
        <v>16.666666666666668</v>
      </c>
      <c r="L85" s="59"/>
      <c r="M85" s="61">
        <v>1.5</v>
      </c>
      <c r="N85" s="61"/>
      <c r="O85" s="62">
        <f t="shared" ref="O85:O90" si="13">(E85*M85*G85)+K85</f>
        <v>2266.6666666666665</v>
      </c>
      <c r="P85" s="59"/>
      <c r="Q85" s="89">
        <f t="shared" ref="Q85:Q90" si="14">(O85)/114000</f>
        <v>1.9883040935672513E-2</v>
      </c>
      <c r="R85" s="89"/>
    </row>
    <row r="86" spans="1:18" x14ac:dyDescent="0.35">
      <c r="A86" s="106"/>
      <c r="B86" s="106"/>
      <c r="C86" s="56" t="s">
        <v>203</v>
      </c>
      <c r="D86" s="61"/>
      <c r="E86" s="88">
        <v>3000</v>
      </c>
      <c r="F86" s="61"/>
      <c r="G86" s="61">
        <v>2</v>
      </c>
      <c r="H86" s="61"/>
      <c r="I86" s="61">
        <v>10</v>
      </c>
      <c r="J86" s="61"/>
      <c r="K86" s="62">
        <f t="shared" si="12"/>
        <v>41.666666666666671</v>
      </c>
      <c r="L86" s="59"/>
      <c r="M86" s="61">
        <v>1.5</v>
      </c>
      <c r="N86" s="61"/>
      <c r="O86" s="62">
        <f t="shared" si="13"/>
        <v>9041.6666666666661</v>
      </c>
      <c r="P86" s="59"/>
      <c r="Q86" s="89">
        <f t="shared" si="14"/>
        <v>7.9312865497076016E-2</v>
      </c>
      <c r="R86" s="89"/>
    </row>
    <row r="87" spans="1:18" x14ac:dyDescent="0.35">
      <c r="A87" s="106"/>
      <c r="B87" s="106"/>
      <c r="C87" s="56" t="s">
        <v>168</v>
      </c>
      <c r="D87" s="61"/>
      <c r="E87" s="88">
        <v>500</v>
      </c>
      <c r="F87" s="61"/>
      <c r="G87" s="61">
        <v>1</v>
      </c>
      <c r="H87" s="61"/>
      <c r="I87" s="61">
        <v>0</v>
      </c>
      <c r="J87" s="61"/>
      <c r="K87" s="62">
        <f t="shared" si="12"/>
        <v>0</v>
      </c>
      <c r="L87" s="59"/>
      <c r="M87" s="61">
        <v>1.5</v>
      </c>
      <c r="N87" s="61"/>
      <c r="O87" s="62">
        <f t="shared" si="13"/>
        <v>750</v>
      </c>
      <c r="P87" s="59"/>
      <c r="Q87" s="89">
        <f t="shared" si="14"/>
        <v>6.5789473684210523E-3</v>
      </c>
      <c r="R87" s="89"/>
    </row>
    <row r="88" spans="1:18" x14ac:dyDescent="0.35">
      <c r="A88" s="106"/>
      <c r="B88" s="106"/>
      <c r="C88" s="56" t="s">
        <v>169</v>
      </c>
      <c r="D88" s="61"/>
      <c r="E88" s="88">
        <v>400</v>
      </c>
      <c r="F88" s="61"/>
      <c r="G88" s="61">
        <v>1</v>
      </c>
      <c r="H88" s="61"/>
      <c r="I88" s="61">
        <v>0</v>
      </c>
      <c r="J88" s="61"/>
      <c r="K88" s="62">
        <f t="shared" si="12"/>
        <v>0</v>
      </c>
      <c r="L88" s="59"/>
      <c r="M88" s="61">
        <v>1.5</v>
      </c>
      <c r="N88" s="61"/>
      <c r="O88" s="62">
        <f t="shared" si="13"/>
        <v>600</v>
      </c>
      <c r="P88" s="59"/>
      <c r="Q88" s="89">
        <f t="shared" si="14"/>
        <v>5.263157894736842E-3</v>
      </c>
      <c r="R88" s="89"/>
    </row>
    <row r="89" spans="1:18" x14ac:dyDescent="0.35">
      <c r="A89" s="106"/>
      <c r="B89" s="106"/>
      <c r="C89" s="56" t="s">
        <v>188</v>
      </c>
      <c r="D89" s="61"/>
      <c r="E89" s="88">
        <v>800</v>
      </c>
      <c r="F89" s="61"/>
      <c r="G89" s="61">
        <v>1</v>
      </c>
      <c r="H89" s="61"/>
      <c r="I89" s="61">
        <v>0</v>
      </c>
      <c r="J89" s="61"/>
      <c r="K89" s="62">
        <f t="shared" si="12"/>
        <v>0</v>
      </c>
      <c r="L89" s="59"/>
      <c r="M89" s="61">
        <v>1.5</v>
      </c>
      <c r="N89" s="61"/>
      <c r="O89" s="62">
        <f t="shared" si="13"/>
        <v>1200</v>
      </c>
      <c r="P89" s="59"/>
      <c r="Q89" s="89">
        <f t="shared" si="14"/>
        <v>1.0526315789473684E-2</v>
      </c>
      <c r="R89" s="89"/>
    </row>
    <row r="90" spans="1:18" x14ac:dyDescent="0.35">
      <c r="A90" s="106"/>
      <c r="B90" s="106"/>
      <c r="C90" s="56" t="s">
        <v>167</v>
      </c>
      <c r="D90" s="61"/>
      <c r="E90" s="88">
        <v>600</v>
      </c>
      <c r="F90" s="61"/>
      <c r="G90" s="61">
        <v>1</v>
      </c>
      <c r="H90" s="61"/>
      <c r="I90" s="61">
        <v>0</v>
      </c>
      <c r="J90" s="61"/>
      <c r="K90" s="62">
        <f t="shared" si="12"/>
        <v>0</v>
      </c>
      <c r="L90" s="59"/>
      <c r="M90" s="61">
        <v>1.5</v>
      </c>
      <c r="N90" s="61"/>
      <c r="O90" s="62">
        <f t="shared" si="13"/>
        <v>900</v>
      </c>
      <c r="P90" s="59"/>
      <c r="Q90" s="89">
        <f t="shared" si="14"/>
        <v>7.8947368421052634E-3</v>
      </c>
      <c r="R90" s="89"/>
    </row>
    <row r="91" spans="1:18" ht="15" thickBot="1" x14ac:dyDescent="0.4">
      <c r="A91" s="106"/>
      <c r="B91" s="106"/>
      <c r="C91" s="58" t="s">
        <v>2</v>
      </c>
      <c r="D91" s="58"/>
      <c r="E91" s="57">
        <f>SUM(E84:F90)</f>
        <v>9800</v>
      </c>
      <c r="F91" s="58"/>
      <c r="G91" s="58">
        <f>SUM(G84:H90)</f>
        <v>8</v>
      </c>
      <c r="H91" s="58"/>
      <c r="I91" s="58">
        <f>SUM(I84:J90)</f>
        <v>25</v>
      </c>
      <c r="J91" s="58"/>
      <c r="K91" s="99">
        <f>SUM(K84:L90)</f>
        <v>87.5</v>
      </c>
      <c r="L91" s="58"/>
      <c r="M91" s="58"/>
      <c r="N91" s="58"/>
      <c r="O91" s="99">
        <f>SUM(O84:P90)</f>
        <v>19287.5</v>
      </c>
      <c r="P91" s="58"/>
      <c r="Q91" s="63">
        <f>SUM(Q84:R90)</f>
        <v>0.16918859649122803</v>
      </c>
      <c r="R91" s="58"/>
    </row>
    <row r="92" spans="1:18" ht="15.5" thickTop="1" thickBot="1" x14ac:dyDescent="0.4">
      <c r="A92" s="103" t="s">
        <v>190</v>
      </c>
      <c r="B92" s="104"/>
      <c r="C92" s="50" t="s">
        <v>4</v>
      </c>
      <c r="D92" s="50"/>
      <c r="E92" s="50"/>
      <c r="F92" s="50" t="s">
        <v>6</v>
      </c>
      <c r="G92" s="50"/>
      <c r="H92" s="50"/>
      <c r="I92" s="50"/>
      <c r="J92" s="50"/>
      <c r="K92" s="11" t="s">
        <v>171</v>
      </c>
      <c r="L92" s="11" t="s">
        <v>173</v>
      </c>
      <c r="M92" s="3" t="s">
        <v>174</v>
      </c>
      <c r="N92" s="3" t="s">
        <v>175</v>
      </c>
      <c r="O92" s="36" t="s">
        <v>172</v>
      </c>
      <c r="P92" s="36"/>
      <c r="Q92" s="36" t="s">
        <v>161</v>
      </c>
      <c r="R92" s="36"/>
    </row>
    <row r="93" spans="1:18" x14ac:dyDescent="0.35">
      <c r="A93" s="105"/>
      <c r="B93" s="105"/>
      <c r="C93" s="76" t="s">
        <v>270</v>
      </c>
      <c r="D93" s="52"/>
      <c r="E93" s="53"/>
      <c r="F93" s="52" t="s">
        <v>271</v>
      </c>
      <c r="G93" s="52"/>
      <c r="H93" s="52"/>
      <c r="I93" s="52"/>
      <c r="J93" s="53"/>
      <c r="K93" s="15">
        <v>2</v>
      </c>
      <c r="L93" s="14">
        <v>100</v>
      </c>
      <c r="M93" s="4">
        <f>(L93*K93)</f>
        <v>200</v>
      </c>
      <c r="N93" s="2" t="s">
        <v>351</v>
      </c>
      <c r="O93" s="61" t="s">
        <v>236</v>
      </c>
      <c r="P93" s="61"/>
      <c r="Q93" s="79">
        <f>(M93)/114000</f>
        <v>1.7543859649122807E-3</v>
      </c>
      <c r="R93" s="79"/>
    </row>
    <row r="94" spans="1:18" x14ac:dyDescent="0.35">
      <c r="A94" s="105"/>
      <c r="B94" s="105"/>
      <c r="C94" s="60" t="s">
        <v>272</v>
      </c>
      <c r="D94" s="55"/>
      <c r="E94" s="56"/>
      <c r="F94" s="55" t="s">
        <v>273</v>
      </c>
      <c r="G94" s="55"/>
      <c r="H94" s="55"/>
      <c r="I94" s="55"/>
      <c r="J94" s="56"/>
      <c r="K94" s="16">
        <v>1</v>
      </c>
      <c r="L94" s="4">
        <v>500</v>
      </c>
      <c r="M94" s="4">
        <f t="shared" ref="M94:M97" si="15">(L94*K94)</f>
        <v>500</v>
      </c>
      <c r="N94" s="2" t="s">
        <v>237</v>
      </c>
      <c r="O94" s="61" t="s">
        <v>236</v>
      </c>
      <c r="P94" s="61"/>
      <c r="Q94" s="79">
        <f t="shared" ref="Q94:Q97" si="16">(M94)/114000</f>
        <v>4.3859649122807015E-3</v>
      </c>
      <c r="R94" s="79"/>
    </row>
    <row r="95" spans="1:18" x14ac:dyDescent="0.35">
      <c r="A95" s="105"/>
      <c r="B95" s="105"/>
      <c r="C95" s="60" t="s">
        <v>274</v>
      </c>
      <c r="D95" s="55"/>
      <c r="E95" s="56"/>
      <c r="F95" s="55" t="s">
        <v>275</v>
      </c>
      <c r="G95" s="55"/>
      <c r="H95" s="55"/>
      <c r="I95" s="55"/>
      <c r="J95" s="56"/>
      <c r="K95" s="16">
        <v>3</v>
      </c>
      <c r="L95" s="4">
        <v>200</v>
      </c>
      <c r="M95" s="4">
        <f t="shared" si="15"/>
        <v>600</v>
      </c>
      <c r="N95" s="2" t="s">
        <v>237</v>
      </c>
      <c r="O95" s="61" t="s">
        <v>236</v>
      </c>
      <c r="P95" s="61"/>
      <c r="Q95" s="79">
        <f t="shared" si="16"/>
        <v>5.263157894736842E-3</v>
      </c>
      <c r="R95" s="79"/>
    </row>
    <row r="96" spans="1:18" x14ac:dyDescent="0.35">
      <c r="A96" s="105"/>
      <c r="B96" s="105"/>
      <c r="C96" s="60" t="s">
        <v>276</v>
      </c>
      <c r="D96" s="55"/>
      <c r="E96" s="56"/>
      <c r="F96" s="55" t="s">
        <v>277</v>
      </c>
      <c r="G96" s="55"/>
      <c r="H96" s="55"/>
      <c r="I96" s="55"/>
      <c r="J96" s="56"/>
      <c r="K96" s="16">
        <v>2</v>
      </c>
      <c r="L96" s="4">
        <v>250</v>
      </c>
      <c r="M96" s="4">
        <f t="shared" si="15"/>
        <v>500</v>
      </c>
      <c r="N96" s="2" t="s">
        <v>237</v>
      </c>
      <c r="O96" s="61" t="s">
        <v>236</v>
      </c>
      <c r="P96" s="61"/>
      <c r="Q96" s="79">
        <f t="shared" si="16"/>
        <v>4.3859649122807015E-3</v>
      </c>
      <c r="R96" s="79"/>
    </row>
    <row r="97" spans="1:18" x14ac:dyDescent="0.35">
      <c r="A97" s="105"/>
      <c r="B97" s="105"/>
      <c r="C97" s="60" t="s">
        <v>284</v>
      </c>
      <c r="D97" s="55"/>
      <c r="E97" s="56"/>
      <c r="F97" s="117" t="s">
        <v>285</v>
      </c>
      <c r="G97" s="117"/>
      <c r="H97" s="117"/>
      <c r="I97" s="117"/>
      <c r="J97" s="118"/>
      <c r="K97" s="16">
        <v>1</v>
      </c>
      <c r="L97" s="4">
        <v>300</v>
      </c>
      <c r="M97" s="4">
        <f t="shared" si="15"/>
        <v>300</v>
      </c>
      <c r="N97" s="2" t="s">
        <v>351</v>
      </c>
      <c r="O97" s="61" t="s">
        <v>236</v>
      </c>
      <c r="P97" s="61"/>
      <c r="Q97" s="79">
        <f t="shared" si="16"/>
        <v>2.631578947368421E-3</v>
      </c>
      <c r="R97" s="79"/>
    </row>
    <row r="98" spans="1:18" ht="15" thickBot="1" x14ac:dyDescent="0.4">
      <c r="A98" s="105"/>
      <c r="B98" s="105"/>
      <c r="C98" s="58" t="s">
        <v>2</v>
      </c>
      <c r="D98" s="58"/>
      <c r="E98" s="58"/>
      <c r="F98" s="58"/>
      <c r="G98" s="58"/>
      <c r="H98" s="58"/>
      <c r="I98" s="58"/>
      <c r="J98" s="58"/>
      <c r="K98" s="17">
        <f>SUM(K93:K97)</f>
        <v>9</v>
      </c>
      <c r="L98" s="7">
        <f>SUM(L93:L97)</f>
        <v>1350</v>
      </c>
      <c r="M98" s="7">
        <f>SUM(M93:M97)</f>
        <v>2100</v>
      </c>
      <c r="N98" s="6"/>
      <c r="O98" s="58"/>
      <c r="P98" s="58"/>
      <c r="Q98" s="63">
        <f>SUM(Q93:R97)</f>
        <v>1.8421052631578949E-2</v>
      </c>
      <c r="R98" s="58"/>
    </row>
    <row r="99" spans="1:18" ht="15.5" thickTop="1" thickBot="1" x14ac:dyDescent="0.4">
      <c r="A99" s="102" t="s">
        <v>176</v>
      </c>
      <c r="B99" s="102"/>
      <c r="C99" s="26" t="s">
        <v>170</v>
      </c>
      <c r="D99" s="26"/>
      <c r="E99" s="26" t="s">
        <v>177</v>
      </c>
      <c r="F99" s="26"/>
      <c r="G99" s="26"/>
      <c r="H99" s="26"/>
      <c r="I99" s="36" t="s">
        <v>178</v>
      </c>
      <c r="J99" s="36"/>
      <c r="K99" s="26" t="s">
        <v>171</v>
      </c>
      <c r="L99" s="26"/>
      <c r="M99" s="36" t="s">
        <v>173</v>
      </c>
      <c r="N99" s="36"/>
      <c r="O99" s="36" t="s">
        <v>174</v>
      </c>
      <c r="P99" s="36"/>
      <c r="Q99" s="26" t="s">
        <v>161</v>
      </c>
      <c r="R99" s="26"/>
    </row>
    <row r="100" spans="1:18" x14ac:dyDescent="0.35">
      <c r="A100" s="102"/>
      <c r="B100" s="102"/>
      <c r="C100" s="59" t="s">
        <v>226</v>
      </c>
      <c r="D100" s="59"/>
      <c r="E100" s="59" t="s">
        <v>392</v>
      </c>
      <c r="F100" s="59"/>
      <c r="G100" s="59"/>
      <c r="H100" s="59"/>
      <c r="I100" s="59" t="s">
        <v>352</v>
      </c>
      <c r="J100" s="59"/>
      <c r="K100" s="59">
        <v>2</v>
      </c>
      <c r="L100" s="59"/>
      <c r="M100" s="85">
        <v>400</v>
      </c>
      <c r="N100" s="59"/>
      <c r="O100" s="85">
        <f>(M100*K100)</f>
        <v>800</v>
      </c>
      <c r="P100" s="59"/>
      <c r="Q100" s="89">
        <f>(O100)/114000</f>
        <v>7.0175438596491229E-3</v>
      </c>
      <c r="R100" s="89"/>
    </row>
    <row r="101" spans="1:18" x14ac:dyDescent="0.35">
      <c r="A101" s="102"/>
      <c r="B101" s="102"/>
      <c r="C101" s="61" t="s">
        <v>227</v>
      </c>
      <c r="D101" s="61"/>
      <c r="E101" s="61" t="s">
        <v>405</v>
      </c>
      <c r="F101" s="61"/>
      <c r="G101" s="61"/>
      <c r="H101" s="61"/>
      <c r="I101" s="61" t="s">
        <v>249</v>
      </c>
      <c r="J101" s="61"/>
      <c r="K101" s="61">
        <v>5</v>
      </c>
      <c r="L101" s="61"/>
      <c r="M101" s="88">
        <v>300</v>
      </c>
      <c r="N101" s="61"/>
      <c r="O101" s="85">
        <f t="shared" ref="O101:O106" si="17">(M101*K101)</f>
        <v>1500</v>
      </c>
      <c r="P101" s="59"/>
      <c r="Q101" s="89">
        <f t="shared" ref="Q101:Q106" si="18">(O101)/114000</f>
        <v>1.3157894736842105E-2</v>
      </c>
      <c r="R101" s="89"/>
    </row>
    <row r="102" spans="1:18" x14ac:dyDescent="0.35">
      <c r="A102" s="102"/>
      <c r="B102" s="102"/>
      <c r="C102" s="61" t="s">
        <v>228</v>
      </c>
      <c r="D102" s="61"/>
      <c r="E102" s="61" t="s">
        <v>406</v>
      </c>
      <c r="F102" s="61"/>
      <c r="G102" s="61"/>
      <c r="H102" s="61"/>
      <c r="I102" s="61" t="s">
        <v>249</v>
      </c>
      <c r="J102" s="61"/>
      <c r="K102" s="61">
        <v>4</v>
      </c>
      <c r="L102" s="61"/>
      <c r="M102" s="88">
        <v>500</v>
      </c>
      <c r="N102" s="61"/>
      <c r="O102" s="85">
        <f t="shared" si="17"/>
        <v>2000</v>
      </c>
      <c r="P102" s="59"/>
      <c r="Q102" s="89">
        <f t="shared" si="18"/>
        <v>1.7543859649122806E-2</v>
      </c>
      <c r="R102" s="89"/>
    </row>
    <row r="103" spans="1:18" x14ac:dyDescent="0.35">
      <c r="A103" s="102"/>
      <c r="B103" s="102"/>
      <c r="C103" s="61" t="s">
        <v>278</v>
      </c>
      <c r="D103" s="61"/>
      <c r="E103" s="61" t="s">
        <v>279</v>
      </c>
      <c r="F103" s="61"/>
      <c r="G103" s="61"/>
      <c r="H103" s="61"/>
      <c r="I103" s="61" t="s">
        <v>353</v>
      </c>
      <c r="J103" s="61"/>
      <c r="K103" s="121">
        <v>2</v>
      </c>
      <c r="L103" s="121"/>
      <c r="M103" s="88">
        <v>250</v>
      </c>
      <c r="N103" s="61"/>
      <c r="O103" s="85">
        <f t="shared" si="17"/>
        <v>500</v>
      </c>
      <c r="P103" s="59"/>
      <c r="Q103" s="89">
        <f t="shared" si="18"/>
        <v>4.3859649122807015E-3</v>
      </c>
      <c r="R103" s="89"/>
    </row>
    <row r="104" spans="1:18" x14ac:dyDescent="0.35">
      <c r="A104" s="102"/>
      <c r="B104" s="102"/>
      <c r="C104" s="61" t="s">
        <v>286</v>
      </c>
      <c r="D104" s="61"/>
      <c r="E104" s="61" t="s">
        <v>407</v>
      </c>
      <c r="F104" s="61"/>
      <c r="G104" s="61"/>
      <c r="H104" s="61"/>
      <c r="I104" s="61" t="s">
        <v>249</v>
      </c>
      <c r="J104" s="61"/>
      <c r="K104" s="61">
        <v>6</v>
      </c>
      <c r="L104" s="61"/>
      <c r="M104" s="88">
        <v>400</v>
      </c>
      <c r="N104" s="61"/>
      <c r="O104" s="85">
        <f t="shared" si="17"/>
        <v>2400</v>
      </c>
      <c r="P104" s="59"/>
      <c r="Q104" s="89">
        <f t="shared" si="18"/>
        <v>2.1052631578947368E-2</v>
      </c>
      <c r="R104" s="89"/>
    </row>
    <row r="105" spans="1:18" x14ac:dyDescent="0.35">
      <c r="A105" s="102"/>
      <c r="B105" s="102"/>
      <c r="C105" s="61" t="s">
        <v>393</v>
      </c>
      <c r="D105" s="61"/>
      <c r="E105" s="61" t="s">
        <v>394</v>
      </c>
      <c r="F105" s="61"/>
      <c r="G105" s="61"/>
      <c r="H105" s="61"/>
      <c r="I105" s="61" t="s">
        <v>249</v>
      </c>
      <c r="J105" s="61"/>
      <c r="K105" s="61">
        <v>4</v>
      </c>
      <c r="L105" s="61"/>
      <c r="M105" s="88">
        <v>200</v>
      </c>
      <c r="N105" s="61"/>
      <c r="O105" s="85">
        <f t="shared" si="17"/>
        <v>800</v>
      </c>
      <c r="P105" s="59"/>
      <c r="Q105" s="89">
        <f t="shared" si="18"/>
        <v>7.0175438596491229E-3</v>
      </c>
      <c r="R105" s="89"/>
    </row>
    <row r="106" spans="1:18" x14ac:dyDescent="0.35">
      <c r="A106" s="102"/>
      <c r="B106" s="102"/>
      <c r="C106" s="61" t="s">
        <v>395</v>
      </c>
      <c r="D106" s="61"/>
      <c r="E106" s="61" t="s">
        <v>396</v>
      </c>
      <c r="F106" s="61"/>
      <c r="G106" s="61"/>
      <c r="H106" s="61"/>
      <c r="I106" s="61" t="s">
        <v>249</v>
      </c>
      <c r="J106" s="61"/>
      <c r="K106" s="61">
        <v>4</v>
      </c>
      <c r="L106" s="61"/>
      <c r="M106" s="88">
        <v>300</v>
      </c>
      <c r="N106" s="61"/>
      <c r="O106" s="85">
        <f t="shared" si="17"/>
        <v>1200</v>
      </c>
      <c r="P106" s="59"/>
      <c r="Q106" s="89">
        <f t="shared" si="18"/>
        <v>1.0526315789473684E-2</v>
      </c>
      <c r="R106" s="89"/>
    </row>
    <row r="107" spans="1:18" ht="15" thickBot="1" x14ac:dyDescent="0.4">
      <c r="A107" s="102"/>
      <c r="B107" s="102"/>
      <c r="C107" s="58" t="s">
        <v>2</v>
      </c>
      <c r="D107" s="58"/>
      <c r="E107" s="58"/>
      <c r="F107" s="58"/>
      <c r="G107" s="58"/>
      <c r="H107" s="58"/>
      <c r="I107" s="58"/>
      <c r="J107" s="58"/>
      <c r="K107" s="58">
        <f>SUM(K100:L106)</f>
        <v>27</v>
      </c>
      <c r="L107" s="58"/>
      <c r="M107" s="57">
        <f>SUM(M100:N106)</f>
        <v>2350</v>
      </c>
      <c r="N107" s="58"/>
      <c r="O107" s="57">
        <f>SUM(O100:P106)</f>
        <v>9200</v>
      </c>
      <c r="P107" s="58"/>
      <c r="Q107" s="63">
        <f>SUM(Q100:R106)</f>
        <v>8.0701754385964913E-2</v>
      </c>
      <c r="R107" s="58"/>
    </row>
    <row r="108" spans="1:18" ht="15.5" thickTop="1" thickBot="1" x14ac:dyDescent="0.4">
      <c r="A108" s="100" t="s">
        <v>179</v>
      </c>
      <c r="B108" s="101"/>
      <c r="C108" s="26" t="s">
        <v>4</v>
      </c>
      <c r="D108" s="26"/>
      <c r="E108" s="26" t="s">
        <v>6</v>
      </c>
      <c r="F108" s="26"/>
      <c r="G108" s="26"/>
      <c r="H108" s="26"/>
      <c r="I108" s="26" t="s">
        <v>180</v>
      </c>
      <c r="J108" s="26"/>
      <c r="K108" s="26" t="s">
        <v>163</v>
      </c>
      <c r="L108" s="26"/>
      <c r="M108" s="36" t="s">
        <v>173</v>
      </c>
      <c r="N108" s="36"/>
      <c r="O108" s="36" t="s">
        <v>174</v>
      </c>
      <c r="P108" s="36"/>
      <c r="Q108" s="26" t="s">
        <v>161</v>
      </c>
      <c r="R108" s="26"/>
    </row>
    <row r="109" spans="1:18" x14ac:dyDescent="0.35">
      <c r="A109" s="101"/>
      <c r="B109" s="101"/>
      <c r="C109" s="59" t="s">
        <v>181</v>
      </c>
      <c r="D109" s="59"/>
      <c r="E109" s="59" t="s">
        <v>223</v>
      </c>
      <c r="F109" s="59"/>
      <c r="G109" s="59"/>
      <c r="H109" s="59"/>
      <c r="I109" s="115"/>
      <c r="J109" s="115"/>
      <c r="K109" s="59">
        <v>1.5</v>
      </c>
      <c r="L109" s="59"/>
      <c r="M109" s="85">
        <v>800</v>
      </c>
      <c r="N109" s="59"/>
      <c r="O109" s="54">
        <f>(M109*K109)</f>
        <v>1200</v>
      </c>
      <c r="P109" s="56"/>
      <c r="Q109" s="70">
        <f>(O109)/114000</f>
        <v>1.0526315789473684E-2</v>
      </c>
      <c r="R109" s="72"/>
    </row>
    <row r="110" spans="1:18" x14ac:dyDescent="0.35">
      <c r="A110" s="101"/>
      <c r="B110" s="101"/>
      <c r="C110" s="61" t="s">
        <v>182</v>
      </c>
      <c r="D110" s="61"/>
      <c r="E110" s="61" t="s">
        <v>224</v>
      </c>
      <c r="F110" s="61"/>
      <c r="G110" s="61"/>
      <c r="H110" s="61"/>
      <c r="I110" s="113"/>
      <c r="J110" s="113"/>
      <c r="K110" s="60">
        <v>1.5</v>
      </c>
      <c r="L110" s="56"/>
      <c r="M110" s="88">
        <v>300</v>
      </c>
      <c r="N110" s="61"/>
      <c r="O110" s="54">
        <f t="shared" ref="O110:O116" si="19">(M110*K110)</f>
        <v>450</v>
      </c>
      <c r="P110" s="56"/>
      <c r="Q110" s="70">
        <f t="shared" ref="Q110:Q116" si="20">(O110)/114000</f>
        <v>3.9473684210526317E-3</v>
      </c>
      <c r="R110" s="72"/>
    </row>
    <row r="111" spans="1:18" x14ac:dyDescent="0.35">
      <c r="A111" s="101"/>
      <c r="B111" s="101"/>
      <c r="C111" s="61" t="s">
        <v>183</v>
      </c>
      <c r="D111" s="61"/>
      <c r="E111" s="61" t="s">
        <v>244</v>
      </c>
      <c r="F111" s="61"/>
      <c r="G111" s="61"/>
      <c r="H111" s="61"/>
      <c r="I111" s="113"/>
      <c r="J111" s="113"/>
      <c r="K111" s="60">
        <v>1.5</v>
      </c>
      <c r="L111" s="56"/>
      <c r="M111" s="88">
        <v>400</v>
      </c>
      <c r="N111" s="61"/>
      <c r="O111" s="54">
        <f t="shared" si="19"/>
        <v>600</v>
      </c>
      <c r="P111" s="56"/>
      <c r="Q111" s="70">
        <f t="shared" si="20"/>
        <v>5.263157894736842E-3</v>
      </c>
      <c r="R111" s="72"/>
    </row>
    <row r="112" spans="1:18" x14ac:dyDescent="0.35">
      <c r="A112" s="101"/>
      <c r="B112" s="101"/>
      <c r="C112" s="61" t="s">
        <v>184</v>
      </c>
      <c r="D112" s="61"/>
      <c r="E112" s="61" t="s">
        <v>245</v>
      </c>
      <c r="F112" s="61"/>
      <c r="G112" s="61"/>
      <c r="H112" s="61"/>
      <c r="I112" s="113"/>
      <c r="J112" s="113"/>
      <c r="K112" s="60">
        <v>1.5</v>
      </c>
      <c r="L112" s="56"/>
      <c r="M112" s="88">
        <v>200</v>
      </c>
      <c r="N112" s="61"/>
      <c r="O112" s="54">
        <f t="shared" si="19"/>
        <v>300</v>
      </c>
      <c r="P112" s="56"/>
      <c r="Q112" s="70">
        <f t="shared" si="20"/>
        <v>2.631578947368421E-3</v>
      </c>
      <c r="R112" s="72"/>
    </row>
    <row r="113" spans="1:18" x14ac:dyDescent="0.35">
      <c r="A113" s="101"/>
      <c r="B113" s="101"/>
      <c r="C113" s="61" t="s">
        <v>185</v>
      </c>
      <c r="D113" s="61"/>
      <c r="E113" s="61" t="s">
        <v>246</v>
      </c>
      <c r="F113" s="61"/>
      <c r="G113" s="61"/>
      <c r="H113" s="61"/>
      <c r="I113" s="113"/>
      <c r="J113" s="113"/>
      <c r="K113" s="60">
        <v>1.5</v>
      </c>
      <c r="L113" s="56"/>
      <c r="M113" s="88">
        <v>700</v>
      </c>
      <c r="N113" s="61"/>
      <c r="O113" s="54">
        <f t="shared" si="19"/>
        <v>1050</v>
      </c>
      <c r="P113" s="56"/>
      <c r="Q113" s="70">
        <f t="shared" si="20"/>
        <v>9.2105263157894728E-3</v>
      </c>
      <c r="R113" s="72"/>
    </row>
    <row r="114" spans="1:18" x14ac:dyDescent="0.35">
      <c r="A114" s="101"/>
      <c r="B114" s="101"/>
      <c r="C114" s="61" t="s">
        <v>186</v>
      </c>
      <c r="D114" s="61"/>
      <c r="E114" s="61" t="s">
        <v>247</v>
      </c>
      <c r="F114" s="61"/>
      <c r="G114" s="61"/>
      <c r="H114" s="61"/>
      <c r="I114" s="113"/>
      <c r="J114" s="113"/>
      <c r="K114" s="60">
        <v>1.5</v>
      </c>
      <c r="L114" s="56"/>
      <c r="M114" s="88">
        <v>100</v>
      </c>
      <c r="N114" s="61"/>
      <c r="O114" s="54">
        <f t="shared" si="19"/>
        <v>150</v>
      </c>
      <c r="P114" s="56"/>
      <c r="Q114" s="70">
        <f t="shared" si="20"/>
        <v>1.3157894736842105E-3</v>
      </c>
      <c r="R114" s="72"/>
    </row>
    <row r="115" spans="1:18" x14ac:dyDescent="0.35">
      <c r="A115" s="101"/>
      <c r="B115" s="101"/>
      <c r="C115" s="61" t="s">
        <v>189</v>
      </c>
      <c r="D115" s="61"/>
      <c r="E115" s="60" t="s">
        <v>248</v>
      </c>
      <c r="F115" s="55"/>
      <c r="G115" s="55"/>
      <c r="H115" s="56"/>
      <c r="I115" s="86"/>
      <c r="J115" s="87"/>
      <c r="K115" s="60">
        <v>1.5</v>
      </c>
      <c r="L115" s="56"/>
      <c r="M115" s="54">
        <v>500</v>
      </c>
      <c r="N115" s="56"/>
      <c r="O115" s="54">
        <f t="shared" si="19"/>
        <v>750</v>
      </c>
      <c r="P115" s="56"/>
      <c r="Q115" s="70">
        <f t="shared" si="20"/>
        <v>6.5789473684210523E-3</v>
      </c>
      <c r="R115" s="72"/>
    </row>
    <row r="116" spans="1:18" x14ac:dyDescent="0.35">
      <c r="A116" s="101"/>
      <c r="B116" s="101"/>
      <c r="C116" s="61" t="s">
        <v>187</v>
      </c>
      <c r="D116" s="61"/>
      <c r="E116" s="61" t="s">
        <v>397</v>
      </c>
      <c r="F116" s="61"/>
      <c r="G116" s="61"/>
      <c r="H116" s="61"/>
      <c r="I116" s="114"/>
      <c r="J116" s="114"/>
      <c r="K116" s="77">
        <v>1.5</v>
      </c>
      <c r="L116" s="78"/>
      <c r="M116" s="88">
        <v>400</v>
      </c>
      <c r="N116" s="61"/>
      <c r="O116" s="54">
        <f t="shared" si="19"/>
        <v>600</v>
      </c>
      <c r="P116" s="56"/>
      <c r="Q116" s="70">
        <f t="shared" si="20"/>
        <v>5.263157894736842E-3</v>
      </c>
      <c r="R116" s="72"/>
    </row>
    <row r="117" spans="1:18" ht="15" thickBot="1" x14ac:dyDescent="0.4">
      <c r="A117" s="5"/>
      <c r="B117" s="5"/>
      <c r="C117" s="58" t="s">
        <v>2</v>
      </c>
      <c r="D117" s="58"/>
      <c r="E117" s="58"/>
      <c r="F117" s="58"/>
      <c r="G117" s="58"/>
      <c r="H117" s="58"/>
      <c r="I117" s="58"/>
      <c r="J117" s="58"/>
      <c r="K117" s="58"/>
      <c r="L117" s="58"/>
      <c r="M117" s="57">
        <f>SUM(M109:N116)</f>
        <v>3400</v>
      </c>
      <c r="N117" s="58"/>
      <c r="O117" s="57">
        <f>SUM(O109:P116)</f>
        <v>5100</v>
      </c>
      <c r="P117" s="58"/>
      <c r="Q117" s="63">
        <f>SUM(Q109:R116)</f>
        <v>4.4736842105263158E-2</v>
      </c>
      <c r="R117" s="58"/>
    </row>
    <row r="118" spans="1:18" ht="15.5" thickTop="1" thickBot="1" x14ac:dyDescent="0.4">
      <c r="A118" s="94" t="s">
        <v>192</v>
      </c>
      <c r="B118" s="95"/>
      <c r="C118" s="50" t="s">
        <v>4</v>
      </c>
      <c r="D118" s="50"/>
      <c r="E118" s="50"/>
      <c r="F118" s="50" t="s">
        <v>6</v>
      </c>
      <c r="G118" s="50"/>
      <c r="H118" s="50"/>
      <c r="I118" s="50"/>
      <c r="J118" s="9" t="s">
        <v>171</v>
      </c>
      <c r="K118" s="26" t="s">
        <v>193</v>
      </c>
      <c r="L118" s="26"/>
      <c r="M118" s="26" t="s">
        <v>194</v>
      </c>
      <c r="N118" s="26"/>
      <c r="O118" s="26" t="s">
        <v>174</v>
      </c>
      <c r="P118" s="26"/>
      <c r="Q118" s="26" t="s">
        <v>161</v>
      </c>
      <c r="R118" s="26"/>
    </row>
    <row r="119" spans="1:18" x14ac:dyDescent="0.35">
      <c r="A119" s="95"/>
      <c r="B119" s="95"/>
      <c r="C119" s="76" t="s">
        <v>287</v>
      </c>
      <c r="D119" s="52"/>
      <c r="E119" s="53"/>
      <c r="F119" s="76" t="s">
        <v>408</v>
      </c>
      <c r="G119" s="52"/>
      <c r="H119" s="52"/>
      <c r="I119" s="53"/>
      <c r="J119" s="10">
        <v>2</v>
      </c>
      <c r="K119" s="115"/>
      <c r="L119" s="115"/>
      <c r="M119" s="85">
        <v>400</v>
      </c>
      <c r="N119" s="59"/>
      <c r="O119" s="85">
        <f>(M119*J119)</f>
        <v>800</v>
      </c>
      <c r="P119" s="59"/>
      <c r="Q119" s="89">
        <f>(O119)/114000</f>
        <v>7.0175438596491229E-3</v>
      </c>
      <c r="R119" s="89"/>
    </row>
    <row r="120" spans="1:18" x14ac:dyDescent="0.35">
      <c r="A120" s="95"/>
      <c r="B120" s="95"/>
      <c r="C120" s="60" t="s">
        <v>389</v>
      </c>
      <c r="D120" s="55"/>
      <c r="E120" s="56"/>
      <c r="F120" s="60" t="s">
        <v>409</v>
      </c>
      <c r="G120" s="55"/>
      <c r="H120" s="55"/>
      <c r="I120" s="56"/>
      <c r="J120" s="2">
        <v>1</v>
      </c>
      <c r="K120" s="120"/>
      <c r="L120" s="120"/>
      <c r="M120" s="88">
        <v>600</v>
      </c>
      <c r="N120" s="61"/>
      <c r="O120" s="85">
        <f t="shared" ref="O120:O123" si="21">(M120*J120)</f>
        <v>600</v>
      </c>
      <c r="P120" s="59"/>
      <c r="Q120" s="89">
        <f t="shared" ref="Q120:Q123" si="22">(O120)/114000</f>
        <v>5.263157894736842E-3</v>
      </c>
      <c r="R120" s="89"/>
    </row>
    <row r="121" spans="1:18" x14ac:dyDescent="0.35">
      <c r="A121" s="95"/>
      <c r="B121" s="95"/>
      <c r="C121" s="60" t="s">
        <v>390</v>
      </c>
      <c r="D121" s="55"/>
      <c r="E121" s="56"/>
      <c r="F121" s="60" t="s">
        <v>410</v>
      </c>
      <c r="G121" s="55"/>
      <c r="H121" s="55"/>
      <c r="I121" s="56"/>
      <c r="J121" s="2">
        <v>1</v>
      </c>
      <c r="K121" s="120"/>
      <c r="L121" s="120"/>
      <c r="M121" s="88">
        <v>700</v>
      </c>
      <c r="N121" s="61"/>
      <c r="O121" s="85">
        <f t="shared" si="21"/>
        <v>700</v>
      </c>
      <c r="P121" s="59"/>
      <c r="Q121" s="89">
        <f t="shared" si="22"/>
        <v>6.1403508771929825E-3</v>
      </c>
      <c r="R121" s="89"/>
    </row>
    <row r="122" spans="1:18" x14ac:dyDescent="0.35">
      <c r="A122" s="95"/>
      <c r="B122" s="95"/>
      <c r="C122" s="60" t="s">
        <v>391</v>
      </c>
      <c r="D122" s="55"/>
      <c r="E122" s="56"/>
      <c r="F122" s="60" t="s">
        <v>411</v>
      </c>
      <c r="G122" s="55"/>
      <c r="H122" s="55"/>
      <c r="I122" s="56"/>
      <c r="J122" s="2">
        <v>1</v>
      </c>
      <c r="K122" s="120"/>
      <c r="L122" s="120"/>
      <c r="M122" s="88">
        <v>800</v>
      </c>
      <c r="N122" s="61"/>
      <c r="O122" s="85">
        <f t="shared" si="21"/>
        <v>800</v>
      </c>
      <c r="P122" s="59"/>
      <c r="Q122" s="89">
        <f t="shared" si="22"/>
        <v>7.0175438596491229E-3</v>
      </c>
      <c r="R122" s="89"/>
    </row>
    <row r="123" spans="1:18" x14ac:dyDescent="0.35">
      <c r="A123" s="95"/>
      <c r="B123" s="95"/>
      <c r="C123" s="60"/>
      <c r="D123" s="55"/>
      <c r="E123" s="56"/>
      <c r="F123" s="60"/>
      <c r="G123" s="55"/>
      <c r="H123" s="55"/>
      <c r="I123" s="56"/>
      <c r="J123" s="2"/>
      <c r="K123" s="120"/>
      <c r="L123" s="120"/>
      <c r="M123" s="61"/>
      <c r="N123" s="61"/>
      <c r="O123" s="85">
        <f t="shared" si="21"/>
        <v>0</v>
      </c>
      <c r="P123" s="59"/>
      <c r="Q123" s="89">
        <f t="shared" si="22"/>
        <v>0</v>
      </c>
      <c r="R123" s="89"/>
    </row>
    <row r="124" spans="1:18" ht="15" thickBot="1" x14ac:dyDescent="0.4">
      <c r="A124" s="95"/>
      <c r="B124" s="95"/>
      <c r="C124" s="58" t="s">
        <v>2</v>
      </c>
      <c r="D124" s="58"/>
      <c r="E124" s="58"/>
      <c r="F124" s="58"/>
      <c r="G124" s="58"/>
      <c r="H124" s="58"/>
      <c r="I124" s="58"/>
      <c r="J124" s="6">
        <f>SUM(J119:J123)</f>
        <v>5</v>
      </c>
      <c r="K124" s="58"/>
      <c r="L124" s="58"/>
      <c r="M124" s="57">
        <f>SUM(M119:N123)</f>
        <v>2500</v>
      </c>
      <c r="N124" s="58"/>
      <c r="O124" s="57">
        <f>SUM(O119:P123)</f>
        <v>2900</v>
      </c>
      <c r="P124" s="58"/>
      <c r="Q124" s="63">
        <f>SUM(Q119:R123)</f>
        <v>2.5438596491228073E-2</v>
      </c>
      <c r="R124" s="58"/>
    </row>
    <row r="125" spans="1:18" ht="15.5" thickTop="1" thickBot="1" x14ac:dyDescent="0.4">
      <c r="A125" s="93" t="s">
        <v>42</v>
      </c>
      <c r="B125" s="93"/>
      <c r="C125" s="26" t="s">
        <v>195</v>
      </c>
      <c r="D125" s="26"/>
      <c r="E125" s="26" t="s">
        <v>6</v>
      </c>
      <c r="F125" s="26"/>
      <c r="G125" s="26"/>
      <c r="H125" s="26"/>
      <c r="I125" s="84" t="s">
        <v>194</v>
      </c>
      <c r="J125" s="84"/>
      <c r="K125" s="84"/>
      <c r="L125" s="84"/>
      <c r="M125" s="26" t="s">
        <v>174</v>
      </c>
      <c r="N125" s="26"/>
      <c r="O125" s="26" t="s">
        <v>161</v>
      </c>
      <c r="P125" s="26"/>
      <c r="Q125" s="26"/>
      <c r="R125" s="26"/>
    </row>
    <row r="126" spans="1:18" x14ac:dyDescent="0.35">
      <c r="A126" s="93"/>
      <c r="B126" s="93"/>
      <c r="C126" s="59" t="s">
        <v>196</v>
      </c>
      <c r="D126" s="59"/>
      <c r="E126" s="59"/>
      <c r="F126" s="59"/>
      <c r="G126" s="59"/>
      <c r="H126" s="59"/>
      <c r="I126" s="51">
        <v>4000</v>
      </c>
      <c r="J126" s="52"/>
      <c r="K126" s="52"/>
      <c r="L126" s="53"/>
      <c r="M126" s="85">
        <v>4000</v>
      </c>
      <c r="N126" s="59"/>
      <c r="O126" s="90">
        <f>(M126)/114000</f>
        <v>3.5087719298245612E-2</v>
      </c>
      <c r="P126" s="91"/>
      <c r="Q126" s="91"/>
      <c r="R126" s="92"/>
    </row>
    <row r="127" spans="1:18" x14ac:dyDescent="0.35">
      <c r="A127" s="93"/>
      <c r="B127" s="93"/>
      <c r="C127" s="61" t="s">
        <v>197</v>
      </c>
      <c r="D127" s="61"/>
      <c r="E127" s="61"/>
      <c r="F127" s="61"/>
      <c r="G127" s="61"/>
      <c r="H127" s="61"/>
      <c r="I127" s="54">
        <v>4000</v>
      </c>
      <c r="J127" s="55"/>
      <c r="K127" s="55"/>
      <c r="L127" s="56"/>
      <c r="M127" s="88">
        <v>4000</v>
      </c>
      <c r="N127" s="61"/>
      <c r="O127" s="90">
        <f t="shared" ref="O127:O129" si="23">(M127)/114000</f>
        <v>3.5087719298245612E-2</v>
      </c>
      <c r="P127" s="91"/>
      <c r="Q127" s="91"/>
      <c r="R127" s="92"/>
    </row>
    <row r="128" spans="1:18" x14ac:dyDescent="0.35">
      <c r="A128" s="93"/>
      <c r="B128" s="93"/>
      <c r="C128" s="61" t="s">
        <v>198</v>
      </c>
      <c r="D128" s="61"/>
      <c r="E128" s="61"/>
      <c r="F128" s="61"/>
      <c r="G128" s="61"/>
      <c r="H128" s="61"/>
      <c r="I128" s="54">
        <v>3500</v>
      </c>
      <c r="J128" s="55"/>
      <c r="K128" s="55"/>
      <c r="L128" s="56"/>
      <c r="M128" s="88">
        <v>3500</v>
      </c>
      <c r="N128" s="61"/>
      <c r="O128" s="90">
        <f t="shared" si="23"/>
        <v>3.0701754385964911E-2</v>
      </c>
      <c r="P128" s="91"/>
      <c r="Q128" s="91"/>
      <c r="R128" s="92"/>
    </row>
    <row r="129" spans="1:18" x14ac:dyDescent="0.35">
      <c r="A129" s="93"/>
      <c r="B129" s="93"/>
      <c r="C129" s="61" t="s">
        <v>199</v>
      </c>
      <c r="D129" s="61"/>
      <c r="E129" s="61"/>
      <c r="F129" s="61"/>
      <c r="G129" s="61"/>
      <c r="H129" s="61"/>
      <c r="I129" s="54">
        <v>2500</v>
      </c>
      <c r="J129" s="55"/>
      <c r="K129" s="55"/>
      <c r="L129" s="56"/>
      <c r="M129" s="88">
        <v>2500</v>
      </c>
      <c r="N129" s="61"/>
      <c r="O129" s="90">
        <f t="shared" si="23"/>
        <v>2.1929824561403508E-2</v>
      </c>
      <c r="P129" s="91"/>
      <c r="Q129" s="91"/>
      <c r="R129" s="92"/>
    </row>
    <row r="130" spans="1:18" x14ac:dyDescent="0.35">
      <c r="A130" s="93"/>
      <c r="B130" s="93"/>
      <c r="C130" s="58" t="s">
        <v>2</v>
      </c>
      <c r="D130" s="58"/>
      <c r="E130" s="58"/>
      <c r="F130" s="58"/>
      <c r="G130" s="58"/>
      <c r="H130" s="58"/>
      <c r="I130" s="57">
        <f>SUM(I126:L129)</f>
        <v>14000</v>
      </c>
      <c r="J130" s="58"/>
      <c r="K130" s="58"/>
      <c r="L130" s="58"/>
      <c r="M130" s="58">
        <f>SUM(M126:N129)</f>
        <v>14000</v>
      </c>
      <c r="N130" s="58"/>
      <c r="O130" s="63">
        <f>SUM(O126:R129)</f>
        <v>0.12280701754385964</v>
      </c>
      <c r="P130" s="58"/>
      <c r="Q130" s="58"/>
      <c r="R130" s="58"/>
    </row>
    <row r="154" spans="1:18" x14ac:dyDescent="0.35">
      <c r="A154" s="108" t="s">
        <v>3</v>
      </c>
      <c r="B154" s="109"/>
      <c r="C154" s="109"/>
      <c r="D154" s="109"/>
      <c r="E154" s="109"/>
      <c r="F154" s="109"/>
      <c r="G154" s="109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</row>
    <row r="155" spans="1:18" x14ac:dyDescent="0.35">
      <c r="A155" s="109"/>
      <c r="B155" s="109"/>
      <c r="C155" s="109"/>
      <c r="D155" s="109"/>
      <c r="E155" s="109"/>
      <c r="F155" s="109"/>
      <c r="G155" s="109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</row>
    <row r="156" spans="1:18" x14ac:dyDescent="0.35">
      <c r="A156" s="80" t="s">
        <v>70</v>
      </c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</row>
    <row r="157" spans="1:18" x14ac:dyDescent="0.35">
      <c r="A157" s="80" t="s">
        <v>91</v>
      </c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</row>
    <row r="158" spans="1:18" x14ac:dyDescent="0.35">
      <c r="A158" s="81" t="s">
        <v>253</v>
      </c>
      <c r="B158" s="82"/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</row>
    <row r="159" spans="1:18" x14ac:dyDescent="0.35">
      <c r="A159" s="83" t="s">
        <v>8</v>
      </c>
      <c r="B159" s="83"/>
      <c r="C159" s="26" t="s">
        <v>157</v>
      </c>
      <c r="D159" s="26"/>
      <c r="E159" s="26" t="s">
        <v>162</v>
      </c>
      <c r="F159" s="26"/>
      <c r="G159" s="26" t="s">
        <v>191</v>
      </c>
      <c r="H159" s="26"/>
      <c r="I159" s="26" t="s">
        <v>159</v>
      </c>
      <c r="J159" s="26"/>
      <c r="K159" s="26" t="s">
        <v>160</v>
      </c>
      <c r="L159" s="26"/>
      <c r="M159" s="26" t="s">
        <v>163</v>
      </c>
      <c r="N159" s="26"/>
      <c r="O159" s="26" t="s">
        <v>158</v>
      </c>
      <c r="P159" s="26"/>
      <c r="Q159" s="26" t="s">
        <v>164</v>
      </c>
      <c r="R159" s="26"/>
    </row>
    <row r="160" spans="1:18" x14ac:dyDescent="0.35">
      <c r="A160" s="106" t="s">
        <v>10</v>
      </c>
      <c r="B160" s="106"/>
      <c r="C160" s="107" t="s">
        <v>165</v>
      </c>
      <c r="D160" s="59"/>
      <c r="E160" s="85">
        <v>3000</v>
      </c>
      <c r="F160" s="59"/>
      <c r="G160" s="59">
        <v>1</v>
      </c>
      <c r="H160" s="59"/>
      <c r="I160" s="59">
        <v>10</v>
      </c>
      <c r="J160" s="59"/>
      <c r="K160" s="62">
        <f>((E160/30)/24)*I160</f>
        <v>41.666666666666671</v>
      </c>
      <c r="L160" s="59"/>
      <c r="M160" s="59">
        <v>2.5</v>
      </c>
      <c r="N160" s="59"/>
      <c r="O160" s="62">
        <f>(E160*M160*G160)+K160</f>
        <v>7541.666666666667</v>
      </c>
      <c r="P160" s="59"/>
      <c r="Q160" s="89">
        <f>(O160)/164000</f>
        <v>4.5985772357723581E-2</v>
      </c>
      <c r="R160" s="89"/>
    </row>
    <row r="161" spans="1:18" x14ac:dyDescent="0.35">
      <c r="A161" s="106"/>
      <c r="B161" s="106"/>
      <c r="C161" s="56" t="s">
        <v>204</v>
      </c>
      <c r="D161" s="61"/>
      <c r="E161" s="88">
        <v>2500</v>
      </c>
      <c r="F161" s="61"/>
      <c r="G161" s="61">
        <v>3</v>
      </c>
      <c r="H161" s="61"/>
      <c r="I161" s="61">
        <v>15</v>
      </c>
      <c r="J161" s="61"/>
      <c r="K161" s="62">
        <f t="shared" ref="K161:K166" si="24">((E161/30)/24)*I161</f>
        <v>52.083333333333329</v>
      </c>
      <c r="L161" s="59"/>
      <c r="M161" s="61">
        <v>2.5</v>
      </c>
      <c r="N161" s="61"/>
      <c r="O161" s="62">
        <f t="shared" ref="O161:O166" si="25">(E161*M161*G161)+K161</f>
        <v>18802.083333333332</v>
      </c>
      <c r="P161" s="59"/>
      <c r="Q161" s="89">
        <f t="shared" ref="Q161:Q166" si="26">(O161)/164000</f>
        <v>0.11464684959349593</v>
      </c>
      <c r="R161" s="89"/>
    </row>
    <row r="162" spans="1:18" x14ac:dyDescent="0.35">
      <c r="A162" s="106"/>
      <c r="B162" s="106"/>
      <c r="C162" s="56" t="s">
        <v>205</v>
      </c>
      <c r="D162" s="61"/>
      <c r="E162" s="88">
        <v>3000</v>
      </c>
      <c r="F162" s="61"/>
      <c r="G162" s="61">
        <v>1</v>
      </c>
      <c r="H162" s="61"/>
      <c r="I162" s="61">
        <v>12</v>
      </c>
      <c r="J162" s="61"/>
      <c r="K162" s="62">
        <f t="shared" si="24"/>
        <v>50</v>
      </c>
      <c r="L162" s="59"/>
      <c r="M162" s="61">
        <v>2.5</v>
      </c>
      <c r="N162" s="61"/>
      <c r="O162" s="62">
        <f t="shared" si="25"/>
        <v>7550</v>
      </c>
      <c r="P162" s="59"/>
      <c r="Q162" s="89">
        <f t="shared" si="26"/>
        <v>4.6036585365853658E-2</v>
      </c>
      <c r="R162" s="89"/>
    </row>
    <row r="163" spans="1:18" x14ac:dyDescent="0.35">
      <c r="A163" s="106"/>
      <c r="B163" s="106"/>
      <c r="C163" s="56" t="s">
        <v>168</v>
      </c>
      <c r="D163" s="61"/>
      <c r="E163" s="88">
        <v>500</v>
      </c>
      <c r="F163" s="61"/>
      <c r="G163" s="61">
        <v>1</v>
      </c>
      <c r="H163" s="61"/>
      <c r="I163" s="61">
        <v>0</v>
      </c>
      <c r="J163" s="61"/>
      <c r="K163" s="62">
        <f t="shared" si="24"/>
        <v>0</v>
      </c>
      <c r="L163" s="59"/>
      <c r="M163" s="61">
        <v>2.5</v>
      </c>
      <c r="N163" s="61"/>
      <c r="O163" s="62">
        <f t="shared" si="25"/>
        <v>1250</v>
      </c>
      <c r="P163" s="59"/>
      <c r="Q163" s="89">
        <f t="shared" si="26"/>
        <v>7.621951219512195E-3</v>
      </c>
      <c r="R163" s="89"/>
    </row>
    <row r="164" spans="1:18" x14ac:dyDescent="0.35">
      <c r="A164" s="106"/>
      <c r="B164" s="106"/>
      <c r="C164" s="56" t="s">
        <v>169</v>
      </c>
      <c r="D164" s="61"/>
      <c r="E164" s="88">
        <v>400</v>
      </c>
      <c r="F164" s="61"/>
      <c r="G164" s="61">
        <v>1</v>
      </c>
      <c r="H164" s="61"/>
      <c r="I164" s="61">
        <v>0</v>
      </c>
      <c r="J164" s="61"/>
      <c r="K164" s="62">
        <f t="shared" si="24"/>
        <v>0</v>
      </c>
      <c r="L164" s="59"/>
      <c r="M164" s="61">
        <v>2.5</v>
      </c>
      <c r="N164" s="61"/>
      <c r="O164" s="62">
        <f t="shared" si="25"/>
        <v>1000</v>
      </c>
      <c r="P164" s="59"/>
      <c r="Q164" s="89">
        <f t="shared" si="26"/>
        <v>6.0975609756097563E-3</v>
      </c>
      <c r="R164" s="89"/>
    </row>
    <row r="165" spans="1:18" x14ac:dyDescent="0.35">
      <c r="A165" s="106"/>
      <c r="B165" s="106"/>
      <c r="C165" s="56" t="s">
        <v>188</v>
      </c>
      <c r="D165" s="61"/>
      <c r="E165" s="88">
        <v>800</v>
      </c>
      <c r="F165" s="61"/>
      <c r="G165" s="61">
        <v>1</v>
      </c>
      <c r="H165" s="61"/>
      <c r="I165" s="61">
        <v>0</v>
      </c>
      <c r="J165" s="61"/>
      <c r="K165" s="62">
        <f t="shared" si="24"/>
        <v>0</v>
      </c>
      <c r="L165" s="59"/>
      <c r="M165" s="61">
        <v>2.5</v>
      </c>
      <c r="N165" s="61"/>
      <c r="O165" s="62">
        <f t="shared" si="25"/>
        <v>2000</v>
      </c>
      <c r="P165" s="59"/>
      <c r="Q165" s="89">
        <f t="shared" si="26"/>
        <v>1.2195121951219513E-2</v>
      </c>
      <c r="R165" s="89"/>
    </row>
    <row r="166" spans="1:18" x14ac:dyDescent="0.35">
      <c r="A166" s="106"/>
      <c r="B166" s="106"/>
      <c r="C166" s="56" t="s">
        <v>167</v>
      </c>
      <c r="D166" s="61"/>
      <c r="E166" s="88">
        <v>600</v>
      </c>
      <c r="F166" s="61"/>
      <c r="G166" s="61">
        <v>1</v>
      </c>
      <c r="H166" s="61"/>
      <c r="I166" s="61">
        <v>0</v>
      </c>
      <c r="J166" s="61"/>
      <c r="K166" s="62">
        <f t="shared" si="24"/>
        <v>0</v>
      </c>
      <c r="L166" s="59"/>
      <c r="M166" s="61">
        <v>2.5</v>
      </c>
      <c r="N166" s="61"/>
      <c r="O166" s="62">
        <f t="shared" si="25"/>
        <v>1500</v>
      </c>
      <c r="P166" s="59"/>
      <c r="Q166" s="89">
        <f t="shared" si="26"/>
        <v>9.1463414634146336E-3</v>
      </c>
      <c r="R166" s="89"/>
    </row>
    <row r="167" spans="1:18" x14ac:dyDescent="0.35">
      <c r="A167" s="106"/>
      <c r="B167" s="106"/>
      <c r="C167" s="58" t="s">
        <v>2</v>
      </c>
      <c r="D167" s="58"/>
      <c r="E167" s="57">
        <f>SUM(E160:F166)</f>
        <v>10800</v>
      </c>
      <c r="F167" s="58"/>
      <c r="G167" s="58">
        <f>SUM(G160:H166)</f>
        <v>9</v>
      </c>
      <c r="H167" s="58"/>
      <c r="I167" s="58">
        <f>SUM(I160:J166)</f>
        <v>37</v>
      </c>
      <c r="J167" s="58"/>
      <c r="K167" s="99">
        <f>SUM(K160:L166)</f>
        <v>143.75</v>
      </c>
      <c r="L167" s="58"/>
      <c r="M167" s="58"/>
      <c r="N167" s="58"/>
      <c r="O167" s="99">
        <f>SUM(O160:P166)</f>
        <v>39643.75</v>
      </c>
      <c r="P167" s="58"/>
      <c r="Q167" s="63">
        <f>SUM(Q160:R166)</f>
        <v>0.2417301829268293</v>
      </c>
      <c r="R167" s="58"/>
    </row>
    <row r="168" spans="1:18" x14ac:dyDescent="0.35">
      <c r="A168" s="103" t="s">
        <v>190</v>
      </c>
      <c r="B168" s="104"/>
      <c r="C168" s="26" t="s">
        <v>4</v>
      </c>
      <c r="D168" s="26"/>
      <c r="E168" s="50" t="s">
        <v>6</v>
      </c>
      <c r="F168" s="50"/>
      <c r="G168" s="50"/>
      <c r="H168" s="50"/>
      <c r="I168" s="3" t="s">
        <v>180</v>
      </c>
      <c r="J168" s="3" t="s">
        <v>173</v>
      </c>
      <c r="K168" s="36" t="s">
        <v>174</v>
      </c>
      <c r="L168" s="36"/>
      <c r="M168" s="36" t="s">
        <v>175</v>
      </c>
      <c r="N168" s="36"/>
      <c r="O168" s="36" t="s">
        <v>172</v>
      </c>
      <c r="P168" s="36"/>
      <c r="Q168" s="36" t="s">
        <v>161</v>
      </c>
      <c r="R168" s="36"/>
    </row>
    <row r="169" spans="1:18" x14ac:dyDescent="0.35">
      <c r="A169" s="105"/>
      <c r="B169" s="105"/>
      <c r="C169" s="61" t="s">
        <v>229</v>
      </c>
      <c r="D169" s="61"/>
      <c r="E169" s="76"/>
      <c r="F169" s="52"/>
      <c r="G169" s="52"/>
      <c r="H169" s="53"/>
      <c r="I169" s="2"/>
      <c r="J169" s="2"/>
      <c r="K169" s="76"/>
      <c r="L169" s="53"/>
      <c r="M169" s="61"/>
      <c r="N169" s="61"/>
      <c r="O169" s="61"/>
      <c r="P169" s="61"/>
      <c r="Q169" s="61"/>
      <c r="R169" s="61"/>
    </row>
    <row r="170" spans="1:18" x14ac:dyDescent="0.35">
      <c r="A170" s="105"/>
      <c r="B170" s="105"/>
      <c r="C170" s="61" t="s">
        <v>230</v>
      </c>
      <c r="D170" s="61"/>
      <c r="E170" s="60"/>
      <c r="F170" s="55"/>
      <c r="G170" s="55"/>
      <c r="H170" s="56"/>
      <c r="I170" s="2"/>
      <c r="J170" s="2"/>
      <c r="K170" s="60"/>
      <c r="L170" s="56"/>
      <c r="M170" s="61"/>
      <c r="N170" s="61"/>
      <c r="O170" s="61"/>
      <c r="P170" s="61"/>
      <c r="Q170" s="61"/>
      <c r="R170" s="61"/>
    </row>
    <row r="171" spans="1:18" x14ac:dyDescent="0.35">
      <c r="A171" s="105"/>
      <c r="B171" s="105"/>
      <c r="C171" s="61" t="s">
        <v>231</v>
      </c>
      <c r="D171" s="61"/>
      <c r="E171" s="60"/>
      <c r="F171" s="55"/>
      <c r="G171" s="55"/>
      <c r="H171" s="56"/>
      <c r="I171" s="2"/>
      <c r="J171" s="2"/>
      <c r="K171" s="60"/>
      <c r="L171" s="56"/>
      <c r="M171" s="61"/>
      <c r="N171" s="61"/>
      <c r="O171" s="61"/>
      <c r="P171" s="61"/>
      <c r="Q171" s="61"/>
      <c r="R171" s="61"/>
    </row>
    <row r="172" spans="1:18" x14ac:dyDescent="0.35">
      <c r="A172" s="105"/>
      <c r="B172" s="105"/>
      <c r="C172" s="61"/>
      <c r="D172" s="61"/>
      <c r="E172" s="60"/>
      <c r="F172" s="55"/>
      <c r="G172" s="55"/>
      <c r="H172" s="56"/>
      <c r="I172" s="2"/>
      <c r="J172" s="2"/>
      <c r="K172" s="60"/>
      <c r="L172" s="56"/>
      <c r="M172" s="61"/>
      <c r="N172" s="61"/>
      <c r="O172" s="61"/>
      <c r="P172" s="61"/>
      <c r="Q172" s="61"/>
      <c r="R172" s="61"/>
    </row>
    <row r="173" spans="1:18" x14ac:dyDescent="0.35">
      <c r="A173" s="105"/>
      <c r="B173" s="105"/>
      <c r="C173" s="61"/>
      <c r="D173" s="61"/>
      <c r="E173" s="116"/>
      <c r="F173" s="117"/>
      <c r="G173" s="117"/>
      <c r="H173" s="118"/>
      <c r="I173" s="2"/>
      <c r="J173" s="2"/>
      <c r="K173" s="60"/>
      <c r="L173" s="56"/>
      <c r="M173" s="61"/>
      <c r="N173" s="61"/>
      <c r="O173" s="61"/>
      <c r="P173" s="61"/>
      <c r="Q173" s="61"/>
      <c r="R173" s="61"/>
    </row>
    <row r="174" spans="1:18" x14ac:dyDescent="0.35">
      <c r="A174" s="105"/>
      <c r="B174" s="105"/>
      <c r="C174" s="61"/>
      <c r="D174" s="61"/>
      <c r="E174" s="60"/>
      <c r="F174" s="55"/>
      <c r="G174" s="55"/>
      <c r="H174" s="56"/>
      <c r="I174" s="2"/>
      <c r="J174" s="2"/>
      <c r="K174" s="60"/>
      <c r="L174" s="56"/>
      <c r="M174" s="61"/>
      <c r="N174" s="61"/>
      <c r="O174" s="61"/>
      <c r="P174" s="61"/>
      <c r="Q174" s="61"/>
      <c r="R174" s="61"/>
    </row>
    <row r="175" spans="1:18" x14ac:dyDescent="0.35">
      <c r="A175" s="105"/>
      <c r="B175" s="105"/>
      <c r="C175" s="61"/>
      <c r="D175" s="61"/>
      <c r="E175" s="77"/>
      <c r="F175" s="119"/>
      <c r="G175" s="119"/>
      <c r="H175" s="78"/>
      <c r="I175" s="2"/>
      <c r="J175" s="2"/>
      <c r="K175" s="77"/>
      <c r="L175" s="78"/>
      <c r="M175" s="61"/>
      <c r="N175" s="61"/>
      <c r="O175" s="61"/>
      <c r="P175" s="61"/>
      <c r="Q175" s="61"/>
      <c r="R175" s="61"/>
    </row>
    <row r="176" spans="1:18" x14ac:dyDescent="0.35">
      <c r="A176" s="105"/>
      <c r="B176" s="105"/>
      <c r="C176" s="58" t="s">
        <v>2</v>
      </c>
      <c r="D176" s="58"/>
      <c r="E176" s="58"/>
      <c r="F176" s="58"/>
      <c r="G176" s="58"/>
      <c r="H176" s="58"/>
      <c r="I176" s="6"/>
      <c r="J176" s="6"/>
      <c r="K176" s="58"/>
      <c r="L176" s="58"/>
      <c r="M176" s="58"/>
      <c r="N176" s="58"/>
      <c r="O176" s="58"/>
      <c r="P176" s="58"/>
      <c r="Q176" s="58"/>
      <c r="R176" s="58"/>
    </row>
    <row r="177" spans="1:18" x14ac:dyDescent="0.35">
      <c r="A177" s="102" t="s">
        <v>176</v>
      </c>
      <c r="B177" s="102"/>
      <c r="C177" s="26" t="s">
        <v>170</v>
      </c>
      <c r="D177" s="26"/>
      <c r="E177" s="26" t="s">
        <v>177</v>
      </c>
      <c r="F177" s="26"/>
      <c r="G177" s="26"/>
      <c r="H177" s="26"/>
      <c r="I177" s="36" t="s">
        <v>178</v>
      </c>
      <c r="J177" s="36"/>
      <c r="K177" s="26" t="s">
        <v>173</v>
      </c>
      <c r="L177" s="26"/>
      <c r="M177" s="36" t="s">
        <v>174</v>
      </c>
      <c r="N177" s="36"/>
      <c r="O177" s="36" t="s">
        <v>161</v>
      </c>
      <c r="P177" s="36"/>
      <c r="Q177" s="26"/>
      <c r="R177" s="26"/>
    </row>
    <row r="178" spans="1:18" x14ac:dyDescent="0.35">
      <c r="A178" s="102"/>
      <c r="B178" s="102"/>
      <c r="C178" s="59" t="s">
        <v>232</v>
      </c>
      <c r="D178" s="59"/>
      <c r="E178" s="59" t="s">
        <v>233</v>
      </c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</row>
    <row r="179" spans="1:18" x14ac:dyDescent="0.35">
      <c r="A179" s="102"/>
      <c r="B179" s="102"/>
      <c r="C179" s="61" t="s">
        <v>234</v>
      </c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</row>
    <row r="180" spans="1:18" x14ac:dyDescent="0.35">
      <c r="A180" s="102"/>
      <c r="B180" s="102"/>
      <c r="C180" s="61" t="s">
        <v>235</v>
      </c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</row>
    <row r="181" spans="1:18" x14ac:dyDescent="0.35">
      <c r="A181" s="102"/>
      <c r="B181" s="102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</row>
    <row r="182" spans="1:18" x14ac:dyDescent="0.35">
      <c r="A182" s="102"/>
      <c r="B182" s="102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</row>
    <row r="183" spans="1:18" x14ac:dyDescent="0.35">
      <c r="A183" s="102"/>
      <c r="B183" s="102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</row>
    <row r="184" spans="1:18" x14ac:dyDescent="0.35">
      <c r="A184" s="102"/>
      <c r="B184" s="102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</row>
    <row r="185" spans="1:18" x14ac:dyDescent="0.35">
      <c r="A185" s="102"/>
      <c r="B185" s="102"/>
      <c r="C185" s="58" t="s">
        <v>2</v>
      </c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</row>
    <row r="186" spans="1:18" x14ac:dyDescent="0.35">
      <c r="A186" s="100" t="s">
        <v>179</v>
      </c>
      <c r="B186" s="101"/>
      <c r="C186" s="26" t="s">
        <v>4</v>
      </c>
      <c r="D186" s="26"/>
      <c r="E186" s="26" t="s">
        <v>6</v>
      </c>
      <c r="F186" s="26"/>
      <c r="G186" s="26"/>
      <c r="H186" s="26"/>
      <c r="I186" s="26" t="s">
        <v>180</v>
      </c>
      <c r="J186" s="26"/>
      <c r="K186" s="26" t="s">
        <v>163</v>
      </c>
      <c r="L186" s="26"/>
      <c r="M186" s="36" t="s">
        <v>173</v>
      </c>
      <c r="N186" s="36"/>
      <c r="O186" s="36" t="s">
        <v>174</v>
      </c>
      <c r="P186" s="36"/>
      <c r="Q186" s="26" t="s">
        <v>161</v>
      </c>
      <c r="R186" s="26"/>
    </row>
    <row r="187" spans="1:18" x14ac:dyDescent="0.35">
      <c r="A187" s="101"/>
      <c r="B187" s="101"/>
      <c r="C187" s="59" t="s">
        <v>181</v>
      </c>
      <c r="D187" s="59"/>
      <c r="E187" s="59" t="s">
        <v>223</v>
      </c>
      <c r="F187" s="59"/>
      <c r="G187" s="59"/>
      <c r="H187" s="59"/>
      <c r="I187" s="115"/>
      <c r="J187" s="115"/>
      <c r="K187" s="59">
        <v>2.5</v>
      </c>
      <c r="L187" s="59"/>
      <c r="M187" s="85">
        <v>800</v>
      </c>
      <c r="N187" s="59"/>
      <c r="O187" s="88">
        <f>(M187*K187)</f>
        <v>2000</v>
      </c>
      <c r="P187" s="61"/>
      <c r="Q187" s="70">
        <f>(O187)/164000</f>
        <v>1.2195121951219513E-2</v>
      </c>
      <c r="R187" s="72"/>
    </row>
    <row r="188" spans="1:18" x14ac:dyDescent="0.35">
      <c r="A188" s="101"/>
      <c r="B188" s="101"/>
      <c r="C188" s="61" t="s">
        <v>182</v>
      </c>
      <c r="D188" s="61"/>
      <c r="E188" s="61" t="s">
        <v>224</v>
      </c>
      <c r="F188" s="61"/>
      <c r="G188" s="61"/>
      <c r="H188" s="61"/>
      <c r="I188" s="113"/>
      <c r="J188" s="113"/>
      <c r="K188" s="61">
        <v>2.5</v>
      </c>
      <c r="L188" s="61"/>
      <c r="M188" s="88">
        <v>300</v>
      </c>
      <c r="N188" s="61"/>
      <c r="O188" s="88">
        <f t="shared" ref="O188:O194" si="27">(M188*K188)</f>
        <v>750</v>
      </c>
      <c r="P188" s="61"/>
      <c r="Q188" s="70">
        <f t="shared" ref="Q188:Q194" si="28">(O188)/164000</f>
        <v>4.5731707317073168E-3</v>
      </c>
      <c r="R188" s="72"/>
    </row>
    <row r="189" spans="1:18" x14ac:dyDescent="0.35">
      <c r="A189" s="101"/>
      <c r="B189" s="101"/>
      <c r="C189" s="61" t="s">
        <v>183</v>
      </c>
      <c r="D189" s="61"/>
      <c r="E189" s="61" t="s">
        <v>244</v>
      </c>
      <c r="F189" s="61"/>
      <c r="G189" s="61"/>
      <c r="H189" s="61"/>
      <c r="I189" s="113"/>
      <c r="J189" s="113"/>
      <c r="K189" s="61">
        <v>2.5</v>
      </c>
      <c r="L189" s="61"/>
      <c r="M189" s="88">
        <v>400</v>
      </c>
      <c r="N189" s="61"/>
      <c r="O189" s="88">
        <f t="shared" si="27"/>
        <v>1000</v>
      </c>
      <c r="P189" s="61"/>
      <c r="Q189" s="70">
        <f t="shared" si="28"/>
        <v>6.0975609756097563E-3</v>
      </c>
      <c r="R189" s="72"/>
    </row>
    <row r="190" spans="1:18" x14ac:dyDescent="0.35">
      <c r="A190" s="101"/>
      <c r="B190" s="101"/>
      <c r="C190" s="61" t="s">
        <v>184</v>
      </c>
      <c r="D190" s="61"/>
      <c r="E190" s="61" t="s">
        <v>245</v>
      </c>
      <c r="F190" s="61"/>
      <c r="G190" s="61"/>
      <c r="H190" s="61"/>
      <c r="I190" s="113"/>
      <c r="J190" s="113"/>
      <c r="K190" s="61">
        <v>2.5</v>
      </c>
      <c r="L190" s="61"/>
      <c r="M190" s="88">
        <v>200</v>
      </c>
      <c r="N190" s="61"/>
      <c r="O190" s="88">
        <f t="shared" si="27"/>
        <v>500</v>
      </c>
      <c r="P190" s="61"/>
      <c r="Q190" s="70">
        <f t="shared" si="28"/>
        <v>3.0487804878048782E-3</v>
      </c>
      <c r="R190" s="72"/>
    </row>
    <row r="191" spans="1:18" x14ac:dyDescent="0.35">
      <c r="A191" s="101"/>
      <c r="B191" s="101"/>
      <c r="C191" s="61" t="s">
        <v>185</v>
      </c>
      <c r="D191" s="61"/>
      <c r="E191" s="61" t="s">
        <v>246</v>
      </c>
      <c r="F191" s="61"/>
      <c r="G191" s="61"/>
      <c r="H191" s="61"/>
      <c r="I191" s="113"/>
      <c r="J191" s="113"/>
      <c r="K191" s="61">
        <v>2.5</v>
      </c>
      <c r="L191" s="61"/>
      <c r="M191" s="88">
        <v>700</v>
      </c>
      <c r="N191" s="61"/>
      <c r="O191" s="88">
        <f t="shared" si="27"/>
        <v>1750</v>
      </c>
      <c r="P191" s="61"/>
      <c r="Q191" s="70">
        <f t="shared" si="28"/>
        <v>1.0670731707317074E-2</v>
      </c>
      <c r="R191" s="72"/>
    </row>
    <row r="192" spans="1:18" x14ac:dyDescent="0.35">
      <c r="A192" s="101"/>
      <c r="B192" s="101"/>
      <c r="C192" s="61" t="s">
        <v>186</v>
      </c>
      <c r="D192" s="61"/>
      <c r="E192" s="61" t="s">
        <v>247</v>
      </c>
      <c r="F192" s="61"/>
      <c r="G192" s="61"/>
      <c r="H192" s="61"/>
      <c r="I192" s="113"/>
      <c r="J192" s="113"/>
      <c r="K192" s="61">
        <v>2.5</v>
      </c>
      <c r="L192" s="61"/>
      <c r="M192" s="88">
        <v>100</v>
      </c>
      <c r="N192" s="61"/>
      <c r="O192" s="88">
        <f t="shared" si="27"/>
        <v>250</v>
      </c>
      <c r="P192" s="61"/>
      <c r="Q192" s="70">
        <f t="shared" si="28"/>
        <v>1.5243902439024391E-3</v>
      </c>
      <c r="R192" s="72"/>
    </row>
    <row r="193" spans="1:18" x14ac:dyDescent="0.35">
      <c r="A193" s="101"/>
      <c r="B193" s="101"/>
      <c r="C193" s="61" t="s">
        <v>189</v>
      </c>
      <c r="D193" s="61"/>
      <c r="E193" s="60" t="s">
        <v>248</v>
      </c>
      <c r="F193" s="55"/>
      <c r="G193" s="55"/>
      <c r="H193" s="56"/>
      <c r="I193" s="86"/>
      <c r="J193" s="87"/>
      <c r="K193" s="60">
        <v>2.5</v>
      </c>
      <c r="L193" s="56"/>
      <c r="M193" s="54">
        <v>500</v>
      </c>
      <c r="N193" s="56"/>
      <c r="O193" s="88">
        <f t="shared" si="27"/>
        <v>1250</v>
      </c>
      <c r="P193" s="61"/>
      <c r="Q193" s="70">
        <f t="shared" si="28"/>
        <v>7.621951219512195E-3</v>
      </c>
      <c r="R193" s="72"/>
    </row>
    <row r="194" spans="1:18" x14ac:dyDescent="0.35">
      <c r="A194" s="101"/>
      <c r="B194" s="101"/>
      <c r="C194" s="61" t="s">
        <v>187</v>
      </c>
      <c r="D194" s="61"/>
      <c r="E194" s="61" t="s">
        <v>397</v>
      </c>
      <c r="F194" s="61"/>
      <c r="G194" s="61"/>
      <c r="H194" s="61"/>
      <c r="I194" s="114"/>
      <c r="J194" s="114"/>
      <c r="K194" s="61">
        <v>2.5</v>
      </c>
      <c r="L194" s="61"/>
      <c r="M194" s="88">
        <v>400</v>
      </c>
      <c r="N194" s="61"/>
      <c r="O194" s="88">
        <f t="shared" si="27"/>
        <v>1000</v>
      </c>
      <c r="P194" s="61"/>
      <c r="Q194" s="70">
        <f t="shared" si="28"/>
        <v>6.0975609756097563E-3</v>
      </c>
      <c r="R194" s="72"/>
    </row>
    <row r="195" spans="1:18" x14ac:dyDescent="0.35">
      <c r="A195" s="5"/>
      <c r="B195" s="5"/>
      <c r="C195" s="58" t="s">
        <v>2</v>
      </c>
      <c r="D195" s="58"/>
      <c r="E195" s="58"/>
      <c r="F195" s="58"/>
      <c r="G195" s="58"/>
      <c r="H195" s="58"/>
      <c r="I195" s="58"/>
      <c r="J195" s="58"/>
      <c r="K195" s="58"/>
      <c r="L195" s="58"/>
      <c r="M195" s="57">
        <f>SUM(M187:N194)</f>
        <v>3400</v>
      </c>
      <c r="N195" s="58"/>
      <c r="O195" s="57">
        <f>SUM(O187:P194)</f>
        <v>8500</v>
      </c>
      <c r="P195" s="58"/>
      <c r="Q195" s="63">
        <f>SUM(Q187:R194)</f>
        <v>5.1829268292682924E-2</v>
      </c>
      <c r="R195" s="58"/>
    </row>
    <row r="196" spans="1:18" x14ac:dyDescent="0.35">
      <c r="A196" s="94" t="s">
        <v>192</v>
      </c>
      <c r="B196" s="95"/>
      <c r="C196" s="26" t="s">
        <v>4</v>
      </c>
      <c r="D196" s="26"/>
      <c r="E196" s="26" t="s">
        <v>6</v>
      </c>
      <c r="F196" s="26"/>
      <c r="G196" s="26"/>
      <c r="H196" s="26"/>
      <c r="I196" s="26" t="s">
        <v>180</v>
      </c>
      <c r="J196" s="26"/>
      <c r="K196" s="26" t="s">
        <v>193</v>
      </c>
      <c r="L196" s="26"/>
      <c r="M196" s="26" t="s">
        <v>194</v>
      </c>
      <c r="N196" s="26"/>
      <c r="O196" s="26" t="s">
        <v>174</v>
      </c>
      <c r="P196" s="26"/>
      <c r="Q196" s="26" t="s">
        <v>161</v>
      </c>
      <c r="R196" s="26"/>
    </row>
    <row r="197" spans="1:18" x14ac:dyDescent="0.35">
      <c r="A197" s="95"/>
      <c r="B197" s="95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</row>
    <row r="198" spans="1:18" x14ac:dyDescent="0.35">
      <c r="A198" s="95"/>
      <c r="B198" s="95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</row>
    <row r="199" spans="1:18" x14ac:dyDescent="0.35">
      <c r="A199" s="95"/>
      <c r="B199" s="95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</row>
    <row r="200" spans="1:18" x14ac:dyDescent="0.35">
      <c r="A200" s="95"/>
      <c r="B200" s="95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</row>
    <row r="201" spans="1:18" x14ac:dyDescent="0.35">
      <c r="A201" s="95"/>
      <c r="B201" s="95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</row>
    <row r="202" spans="1:18" x14ac:dyDescent="0.35">
      <c r="A202" s="95"/>
      <c r="B202" s="95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</row>
    <row r="203" spans="1:18" x14ac:dyDescent="0.35">
      <c r="A203" s="95"/>
      <c r="B203" s="95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</row>
    <row r="204" spans="1:18" x14ac:dyDescent="0.35">
      <c r="A204" s="95"/>
      <c r="B204" s="95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</row>
    <row r="205" spans="1:18" x14ac:dyDescent="0.35">
      <c r="A205" s="95"/>
      <c r="B205" s="95"/>
      <c r="C205" s="58" t="s">
        <v>2</v>
      </c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</row>
    <row r="206" spans="1:18" x14ac:dyDescent="0.35">
      <c r="A206" s="93" t="s">
        <v>42</v>
      </c>
      <c r="B206" s="93"/>
      <c r="C206" s="26" t="s">
        <v>195</v>
      </c>
      <c r="D206" s="26"/>
      <c r="E206" s="26" t="s">
        <v>6</v>
      </c>
      <c r="F206" s="26"/>
      <c r="G206" s="26"/>
      <c r="H206" s="26"/>
      <c r="I206" s="50" t="s">
        <v>194</v>
      </c>
      <c r="J206" s="50"/>
      <c r="K206" s="50"/>
      <c r="L206" s="50"/>
      <c r="M206" s="26" t="s">
        <v>174</v>
      </c>
      <c r="N206" s="26"/>
      <c r="O206" s="26" t="s">
        <v>161</v>
      </c>
      <c r="P206" s="26"/>
      <c r="Q206" s="26"/>
      <c r="R206" s="26"/>
    </row>
    <row r="207" spans="1:18" x14ac:dyDescent="0.35">
      <c r="A207" s="93"/>
      <c r="B207" s="93"/>
      <c r="C207" s="59" t="s">
        <v>196</v>
      </c>
      <c r="D207" s="59"/>
      <c r="E207" s="59"/>
      <c r="F207" s="59"/>
      <c r="G207" s="59"/>
      <c r="H207" s="59"/>
      <c r="I207" s="51">
        <v>4000</v>
      </c>
      <c r="J207" s="52"/>
      <c r="K207" s="52"/>
      <c r="L207" s="53"/>
      <c r="M207" s="85">
        <v>4000</v>
      </c>
      <c r="N207" s="59"/>
      <c r="O207" s="70">
        <f>(M207)/164000</f>
        <v>2.4390243902439025E-2</v>
      </c>
      <c r="P207" s="71"/>
      <c r="Q207" s="71"/>
      <c r="R207" s="72"/>
    </row>
    <row r="208" spans="1:18" x14ac:dyDescent="0.35">
      <c r="A208" s="93"/>
      <c r="B208" s="93"/>
      <c r="C208" s="61" t="s">
        <v>250</v>
      </c>
      <c r="D208" s="61"/>
      <c r="E208" s="61"/>
      <c r="F208" s="61"/>
      <c r="G208" s="61"/>
      <c r="H208" s="61"/>
      <c r="I208" s="54">
        <v>4000</v>
      </c>
      <c r="J208" s="55"/>
      <c r="K208" s="55"/>
      <c r="L208" s="56"/>
      <c r="M208" s="88">
        <v>4000</v>
      </c>
      <c r="N208" s="61"/>
      <c r="O208" s="70">
        <f t="shared" ref="O208:O210" si="29">(M208)/164000</f>
        <v>2.4390243902439025E-2</v>
      </c>
      <c r="P208" s="71"/>
      <c r="Q208" s="71"/>
      <c r="R208" s="72"/>
    </row>
    <row r="209" spans="1:18" x14ac:dyDescent="0.35">
      <c r="A209" s="93"/>
      <c r="B209" s="93"/>
      <c r="C209" s="61" t="s">
        <v>198</v>
      </c>
      <c r="D209" s="61"/>
      <c r="E209" s="61"/>
      <c r="F209" s="61"/>
      <c r="G209" s="61"/>
      <c r="H209" s="61"/>
      <c r="I209" s="54">
        <v>3500</v>
      </c>
      <c r="J209" s="55"/>
      <c r="K209" s="55"/>
      <c r="L209" s="56"/>
      <c r="M209" s="88">
        <v>3500</v>
      </c>
      <c r="N209" s="61"/>
      <c r="O209" s="70">
        <f t="shared" si="29"/>
        <v>2.1341463414634148E-2</v>
      </c>
      <c r="P209" s="71"/>
      <c r="Q209" s="71"/>
      <c r="R209" s="72"/>
    </row>
    <row r="210" spans="1:18" x14ac:dyDescent="0.35">
      <c r="A210" s="93"/>
      <c r="B210" s="93"/>
      <c r="C210" s="61" t="s">
        <v>199</v>
      </c>
      <c r="D210" s="61"/>
      <c r="E210" s="61"/>
      <c r="F210" s="61"/>
      <c r="G210" s="61"/>
      <c r="H210" s="61"/>
      <c r="I210" s="54">
        <v>2500</v>
      </c>
      <c r="J210" s="55"/>
      <c r="K210" s="55"/>
      <c r="L210" s="56"/>
      <c r="M210" s="88">
        <v>2500</v>
      </c>
      <c r="N210" s="61"/>
      <c r="O210" s="70">
        <f t="shared" si="29"/>
        <v>1.524390243902439E-2</v>
      </c>
      <c r="P210" s="71"/>
      <c r="Q210" s="71"/>
      <c r="R210" s="72"/>
    </row>
    <row r="211" spans="1:18" x14ac:dyDescent="0.35">
      <c r="A211" s="93"/>
      <c r="B211" s="93"/>
      <c r="C211" s="58" t="s">
        <v>2</v>
      </c>
      <c r="D211" s="58"/>
      <c r="E211" s="58"/>
      <c r="F211" s="58"/>
      <c r="G211" s="58"/>
      <c r="H211" s="58"/>
      <c r="I211" s="57">
        <f>SUM(I207:L210)</f>
        <v>14000</v>
      </c>
      <c r="J211" s="58"/>
      <c r="K211" s="58"/>
      <c r="L211" s="58"/>
      <c r="M211" s="57">
        <f>SUM(M207:N210)</f>
        <v>14000</v>
      </c>
      <c r="N211" s="58"/>
      <c r="O211" s="63">
        <f>SUM(O207:R210)</f>
        <v>8.5365853658536592E-2</v>
      </c>
      <c r="P211" s="58"/>
      <c r="Q211" s="58"/>
      <c r="R211" s="58"/>
    </row>
    <row r="235" spans="1:18" x14ac:dyDescent="0.35">
      <c r="A235" s="108" t="s">
        <v>88</v>
      </c>
      <c r="B235" s="109"/>
      <c r="C235" s="109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</row>
    <row r="236" spans="1:18" x14ac:dyDescent="0.35">
      <c r="A236" s="109"/>
      <c r="B236" s="109"/>
      <c r="C236" s="109"/>
      <c r="D236" s="109"/>
      <c r="E236" s="109"/>
      <c r="F236" s="109"/>
      <c r="G236" s="109"/>
      <c r="H236" s="109"/>
      <c r="I236" s="109"/>
      <c r="J236" s="109"/>
      <c r="K236" s="109"/>
      <c r="L236" s="109"/>
      <c r="M236" s="109"/>
      <c r="N236" s="109"/>
      <c r="O236" s="109"/>
      <c r="P236" s="109"/>
      <c r="Q236" s="109"/>
      <c r="R236" s="109"/>
    </row>
    <row r="237" spans="1:18" x14ac:dyDescent="0.35">
      <c r="A237" s="80" t="s">
        <v>89</v>
      </c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</row>
    <row r="238" spans="1:18" x14ac:dyDescent="0.35">
      <c r="A238" s="80" t="s">
        <v>90</v>
      </c>
      <c r="B238" s="80"/>
      <c r="C238" s="80"/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</row>
    <row r="239" spans="1:18" x14ac:dyDescent="0.35">
      <c r="A239" s="81" t="s">
        <v>254</v>
      </c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</row>
    <row r="240" spans="1:18" x14ac:dyDescent="0.35">
      <c r="A240" s="83" t="s">
        <v>8</v>
      </c>
      <c r="B240" s="83"/>
      <c r="C240" s="26" t="s">
        <v>157</v>
      </c>
      <c r="D240" s="26"/>
      <c r="E240" s="26" t="s">
        <v>162</v>
      </c>
      <c r="F240" s="26"/>
      <c r="G240" s="26" t="s">
        <v>191</v>
      </c>
      <c r="H240" s="26"/>
      <c r="I240" s="26" t="s">
        <v>159</v>
      </c>
      <c r="J240" s="26"/>
      <c r="K240" s="26" t="s">
        <v>160</v>
      </c>
      <c r="L240" s="26"/>
      <c r="M240" s="26" t="s">
        <v>163</v>
      </c>
      <c r="N240" s="26"/>
      <c r="O240" s="26" t="s">
        <v>158</v>
      </c>
      <c r="P240" s="26"/>
      <c r="Q240" s="26" t="s">
        <v>164</v>
      </c>
      <c r="R240" s="26"/>
    </row>
    <row r="241" spans="1:18" x14ac:dyDescent="0.35">
      <c r="A241" s="106" t="s">
        <v>10</v>
      </c>
      <c r="B241" s="106"/>
      <c r="C241" s="107" t="s">
        <v>165</v>
      </c>
      <c r="D241" s="59"/>
      <c r="E241" s="85">
        <v>3000</v>
      </c>
      <c r="F241" s="59"/>
      <c r="G241" s="59">
        <v>1</v>
      </c>
      <c r="H241" s="59"/>
      <c r="I241" s="59">
        <v>10</v>
      </c>
      <c r="J241" s="59"/>
      <c r="K241" s="62">
        <f>((E241/30)/24)*I241</f>
        <v>41.666666666666671</v>
      </c>
      <c r="L241" s="59"/>
      <c r="M241" s="59">
        <v>4</v>
      </c>
      <c r="N241" s="59"/>
      <c r="O241" s="62">
        <f>(E241*M241*G241)+K241</f>
        <v>12041.666666666666</v>
      </c>
      <c r="P241" s="59"/>
      <c r="Q241" s="89">
        <f>(O241)/414000</f>
        <v>2.9086151368760062E-2</v>
      </c>
      <c r="R241" s="89"/>
    </row>
    <row r="242" spans="1:18" x14ac:dyDescent="0.35">
      <c r="A242" s="106"/>
      <c r="B242" s="106"/>
      <c r="C242" s="56" t="s">
        <v>202</v>
      </c>
      <c r="D242" s="61"/>
      <c r="E242" s="88">
        <v>1500</v>
      </c>
      <c r="F242" s="61"/>
      <c r="G242" s="61">
        <v>1</v>
      </c>
      <c r="H242" s="61"/>
      <c r="I242" s="61">
        <v>8</v>
      </c>
      <c r="J242" s="61"/>
      <c r="K242" s="62">
        <f t="shared" ref="K242:K248" si="30">((E242/30)/24)*I242</f>
        <v>16.666666666666668</v>
      </c>
      <c r="L242" s="59"/>
      <c r="M242" s="61">
        <v>4</v>
      </c>
      <c r="N242" s="61"/>
      <c r="O242" s="62">
        <f t="shared" ref="O242:O248" si="31">(E242*M242*G242)+K242</f>
        <v>6016.666666666667</v>
      </c>
      <c r="P242" s="59"/>
      <c r="Q242" s="89">
        <f t="shared" ref="Q242:Q248" si="32">(O242)/414000</f>
        <v>1.4533011272141707E-2</v>
      </c>
      <c r="R242" s="89"/>
    </row>
    <row r="243" spans="1:18" x14ac:dyDescent="0.35">
      <c r="A243" s="106"/>
      <c r="B243" s="106"/>
      <c r="C243" s="56" t="s">
        <v>204</v>
      </c>
      <c r="D243" s="61"/>
      <c r="E243" s="88">
        <v>2500</v>
      </c>
      <c r="F243" s="61"/>
      <c r="G243" s="61">
        <v>5</v>
      </c>
      <c r="H243" s="61"/>
      <c r="I243" s="61">
        <v>15</v>
      </c>
      <c r="J243" s="61"/>
      <c r="K243" s="62">
        <f t="shared" si="30"/>
        <v>52.083333333333329</v>
      </c>
      <c r="L243" s="59"/>
      <c r="M243" s="61">
        <v>4</v>
      </c>
      <c r="N243" s="61"/>
      <c r="O243" s="62">
        <f t="shared" si="31"/>
        <v>50052.083333333336</v>
      </c>
      <c r="P243" s="59"/>
      <c r="Q243" s="89">
        <f t="shared" si="32"/>
        <v>0.12089875201288246</v>
      </c>
      <c r="R243" s="89"/>
    </row>
    <row r="244" spans="1:18" x14ac:dyDescent="0.35">
      <c r="A244" s="106"/>
      <c r="B244" s="106"/>
      <c r="C244" s="56" t="s">
        <v>205</v>
      </c>
      <c r="D244" s="61"/>
      <c r="E244" s="88">
        <v>3000</v>
      </c>
      <c r="F244" s="61"/>
      <c r="G244" s="61">
        <v>2</v>
      </c>
      <c r="H244" s="61"/>
      <c r="I244" s="61">
        <v>10</v>
      </c>
      <c r="J244" s="61"/>
      <c r="K244" s="62">
        <f t="shared" si="30"/>
        <v>41.666666666666671</v>
      </c>
      <c r="L244" s="59"/>
      <c r="M244" s="61">
        <v>4</v>
      </c>
      <c r="N244" s="61"/>
      <c r="O244" s="62">
        <f t="shared" si="31"/>
        <v>24041.666666666668</v>
      </c>
      <c r="P244" s="59"/>
      <c r="Q244" s="89">
        <f t="shared" si="32"/>
        <v>5.8071658615136877E-2</v>
      </c>
      <c r="R244" s="89"/>
    </row>
    <row r="245" spans="1:18" x14ac:dyDescent="0.35">
      <c r="A245" s="106"/>
      <c r="B245" s="106"/>
      <c r="C245" s="56" t="s">
        <v>169</v>
      </c>
      <c r="D245" s="61"/>
      <c r="E245" s="88">
        <v>400</v>
      </c>
      <c r="F245" s="61"/>
      <c r="G245" s="61">
        <v>1</v>
      </c>
      <c r="H245" s="61"/>
      <c r="I245" s="61">
        <v>0</v>
      </c>
      <c r="J245" s="61"/>
      <c r="K245" s="62">
        <f t="shared" si="30"/>
        <v>0</v>
      </c>
      <c r="L245" s="59"/>
      <c r="M245" s="61">
        <v>4</v>
      </c>
      <c r="N245" s="61"/>
      <c r="O245" s="62">
        <f t="shared" si="31"/>
        <v>1600</v>
      </c>
      <c r="P245" s="59"/>
      <c r="Q245" s="89">
        <f t="shared" si="32"/>
        <v>3.8647342995169081E-3</v>
      </c>
      <c r="R245" s="89"/>
    </row>
    <row r="246" spans="1:18" x14ac:dyDescent="0.35">
      <c r="A246" s="106"/>
      <c r="B246" s="106"/>
      <c r="C246" s="56" t="s">
        <v>188</v>
      </c>
      <c r="D246" s="61"/>
      <c r="E246" s="88">
        <v>800</v>
      </c>
      <c r="F246" s="61"/>
      <c r="G246" s="61">
        <v>1</v>
      </c>
      <c r="H246" s="61"/>
      <c r="I246" s="61">
        <v>0</v>
      </c>
      <c r="J246" s="61"/>
      <c r="K246" s="62">
        <f t="shared" si="30"/>
        <v>0</v>
      </c>
      <c r="L246" s="59"/>
      <c r="M246" s="61">
        <v>4</v>
      </c>
      <c r="N246" s="61"/>
      <c r="O246" s="62">
        <f t="shared" si="31"/>
        <v>3200</v>
      </c>
      <c r="P246" s="59"/>
      <c r="Q246" s="89">
        <f t="shared" si="32"/>
        <v>7.7294685990338162E-3</v>
      </c>
      <c r="R246" s="89"/>
    </row>
    <row r="247" spans="1:18" x14ac:dyDescent="0.35">
      <c r="A247" s="106"/>
      <c r="B247" s="106"/>
      <c r="C247" s="56" t="s">
        <v>168</v>
      </c>
      <c r="D247" s="61"/>
      <c r="E247" s="88">
        <v>500</v>
      </c>
      <c r="F247" s="61"/>
      <c r="G247" s="61">
        <v>1</v>
      </c>
      <c r="H247" s="61"/>
      <c r="I247" s="61">
        <v>0</v>
      </c>
      <c r="J247" s="61"/>
      <c r="K247" s="62">
        <f t="shared" si="30"/>
        <v>0</v>
      </c>
      <c r="L247" s="59"/>
      <c r="M247" s="61">
        <v>4</v>
      </c>
      <c r="N247" s="61"/>
      <c r="O247" s="62">
        <f t="shared" si="31"/>
        <v>2000</v>
      </c>
      <c r="P247" s="59"/>
      <c r="Q247" s="89">
        <f t="shared" si="32"/>
        <v>4.830917874396135E-3</v>
      </c>
      <c r="R247" s="89"/>
    </row>
    <row r="248" spans="1:18" x14ac:dyDescent="0.35">
      <c r="A248" s="106"/>
      <c r="B248" s="106"/>
      <c r="C248" s="56" t="s">
        <v>167</v>
      </c>
      <c r="D248" s="61"/>
      <c r="E248" s="88">
        <v>600</v>
      </c>
      <c r="F248" s="61"/>
      <c r="G248" s="61">
        <v>1</v>
      </c>
      <c r="H248" s="61"/>
      <c r="I248" s="61">
        <v>0</v>
      </c>
      <c r="J248" s="61"/>
      <c r="K248" s="62">
        <f t="shared" si="30"/>
        <v>0</v>
      </c>
      <c r="L248" s="59"/>
      <c r="M248" s="61">
        <v>4</v>
      </c>
      <c r="N248" s="61"/>
      <c r="O248" s="62">
        <f t="shared" si="31"/>
        <v>2400</v>
      </c>
      <c r="P248" s="59"/>
      <c r="Q248" s="89">
        <f t="shared" si="32"/>
        <v>5.7971014492753624E-3</v>
      </c>
      <c r="R248" s="89"/>
    </row>
    <row r="249" spans="1:18" x14ac:dyDescent="0.35">
      <c r="A249" s="8"/>
      <c r="B249" s="8"/>
      <c r="C249" s="58" t="s">
        <v>2</v>
      </c>
      <c r="D249" s="58"/>
      <c r="E249" s="57">
        <f>SUM(E241:F248)</f>
        <v>12300</v>
      </c>
      <c r="F249" s="58"/>
      <c r="G249" s="58">
        <f>SUM(G241:H248)</f>
        <v>13</v>
      </c>
      <c r="H249" s="58"/>
      <c r="I249" s="58">
        <f>SUM(I241:J248)</f>
        <v>43</v>
      </c>
      <c r="J249" s="58"/>
      <c r="K249" s="99">
        <f>SUM(K241:L248)</f>
        <v>152.08333333333334</v>
      </c>
      <c r="L249" s="99"/>
      <c r="M249" s="58"/>
      <c r="N249" s="58"/>
      <c r="O249" s="99">
        <f>SUM(O241:P248)</f>
        <v>101352.08333333334</v>
      </c>
      <c r="P249" s="99"/>
      <c r="Q249" s="63">
        <f>SUM(Q241:R248)</f>
        <v>0.24481179549114335</v>
      </c>
      <c r="R249" s="58"/>
    </row>
    <row r="250" spans="1:18" x14ac:dyDescent="0.35">
      <c r="A250" s="103" t="s">
        <v>190</v>
      </c>
      <c r="B250" s="104"/>
      <c r="C250" s="50" t="s">
        <v>4</v>
      </c>
      <c r="D250" s="50"/>
      <c r="E250" s="50"/>
      <c r="F250" s="50" t="s">
        <v>6</v>
      </c>
      <c r="G250" s="50"/>
      <c r="H250" s="50"/>
      <c r="I250" s="50"/>
      <c r="J250" s="3" t="s">
        <v>171</v>
      </c>
      <c r="K250" s="3" t="s">
        <v>173</v>
      </c>
      <c r="L250" s="3" t="s">
        <v>174</v>
      </c>
      <c r="M250" s="36" t="s">
        <v>175</v>
      </c>
      <c r="N250" s="36"/>
      <c r="O250" s="36" t="s">
        <v>172</v>
      </c>
      <c r="P250" s="36"/>
      <c r="Q250" s="36" t="s">
        <v>161</v>
      </c>
      <c r="R250" s="36"/>
    </row>
    <row r="251" spans="1:18" x14ac:dyDescent="0.35">
      <c r="A251" s="105"/>
      <c r="B251" s="105"/>
      <c r="C251" s="76" t="s">
        <v>344</v>
      </c>
      <c r="D251" s="52"/>
      <c r="E251" s="53"/>
      <c r="F251" s="76" t="s">
        <v>388</v>
      </c>
      <c r="G251" s="52"/>
      <c r="H251" s="52"/>
      <c r="I251" s="53"/>
      <c r="J251" s="2">
        <v>4</v>
      </c>
      <c r="K251" s="4">
        <v>800</v>
      </c>
      <c r="L251" s="4">
        <f>(K251*J251)</f>
        <v>3200</v>
      </c>
      <c r="M251" s="61" t="s">
        <v>237</v>
      </c>
      <c r="N251" s="61"/>
      <c r="O251" s="61" t="s">
        <v>236</v>
      </c>
      <c r="P251" s="61"/>
      <c r="Q251" s="79">
        <f>(L251)/414000</f>
        <v>7.7294685990338162E-3</v>
      </c>
      <c r="R251" s="79"/>
    </row>
    <row r="252" spans="1:18" x14ac:dyDescent="0.35">
      <c r="A252" s="105"/>
      <c r="B252" s="105"/>
      <c r="C252" s="60" t="s">
        <v>345</v>
      </c>
      <c r="D252" s="55"/>
      <c r="E252" s="56"/>
      <c r="F252" s="60" t="s">
        <v>387</v>
      </c>
      <c r="G252" s="55"/>
      <c r="H252" s="55"/>
      <c r="I252" s="56"/>
      <c r="J252" s="2">
        <v>8</v>
      </c>
      <c r="K252" s="4">
        <v>1000</v>
      </c>
      <c r="L252" s="4">
        <f t="shared" ref="L252:L257" si="33">(K252*J252)</f>
        <v>8000</v>
      </c>
      <c r="M252" s="61" t="s">
        <v>237</v>
      </c>
      <c r="N252" s="61"/>
      <c r="O252" s="61" t="s">
        <v>236</v>
      </c>
      <c r="P252" s="61"/>
      <c r="Q252" s="79">
        <f t="shared" ref="Q252:Q257" si="34">(L252)/414000</f>
        <v>1.932367149758454E-2</v>
      </c>
      <c r="R252" s="79"/>
    </row>
    <row r="253" spans="1:18" x14ac:dyDescent="0.35">
      <c r="A253" s="105"/>
      <c r="B253" s="105"/>
      <c r="C253" s="60" t="s">
        <v>346</v>
      </c>
      <c r="D253" s="55"/>
      <c r="E253" s="56"/>
      <c r="F253" s="60" t="s">
        <v>412</v>
      </c>
      <c r="G253" s="55"/>
      <c r="H253" s="55"/>
      <c r="I253" s="56"/>
      <c r="J253" s="2">
        <v>2</v>
      </c>
      <c r="K253" s="4">
        <v>1200</v>
      </c>
      <c r="L253" s="4">
        <f t="shared" si="33"/>
        <v>2400</v>
      </c>
      <c r="M253" s="61" t="s">
        <v>238</v>
      </c>
      <c r="N253" s="61"/>
      <c r="O253" s="61" t="s">
        <v>236</v>
      </c>
      <c r="P253" s="61"/>
      <c r="Q253" s="79">
        <f t="shared" si="34"/>
        <v>5.7971014492753624E-3</v>
      </c>
      <c r="R253" s="79"/>
    </row>
    <row r="254" spans="1:18" x14ac:dyDescent="0.35">
      <c r="A254" s="105"/>
      <c r="B254" s="105"/>
      <c r="C254" s="60" t="s">
        <v>347</v>
      </c>
      <c r="D254" s="55"/>
      <c r="E254" s="56"/>
      <c r="F254" s="60" t="s">
        <v>385</v>
      </c>
      <c r="G254" s="55"/>
      <c r="H254" s="55"/>
      <c r="I254" s="56"/>
      <c r="J254" s="2">
        <v>10</v>
      </c>
      <c r="K254" s="4">
        <v>500</v>
      </c>
      <c r="L254" s="4">
        <f t="shared" si="33"/>
        <v>5000</v>
      </c>
      <c r="M254" s="61" t="s">
        <v>238</v>
      </c>
      <c r="N254" s="61"/>
      <c r="O254" s="61" t="s">
        <v>236</v>
      </c>
      <c r="P254" s="61"/>
      <c r="Q254" s="79">
        <f t="shared" si="34"/>
        <v>1.2077294685990338E-2</v>
      </c>
      <c r="R254" s="79"/>
    </row>
    <row r="255" spans="1:18" x14ac:dyDescent="0.35">
      <c r="A255" s="105"/>
      <c r="B255" s="105"/>
      <c r="C255" s="60" t="s">
        <v>348</v>
      </c>
      <c r="D255" s="55"/>
      <c r="E255" s="56"/>
      <c r="F255" s="116" t="s">
        <v>413</v>
      </c>
      <c r="G255" s="117"/>
      <c r="H255" s="117"/>
      <c r="I255" s="118"/>
      <c r="J255" s="2">
        <v>4</v>
      </c>
      <c r="K255" s="4">
        <v>300</v>
      </c>
      <c r="L255" s="4">
        <f t="shared" si="33"/>
        <v>1200</v>
      </c>
      <c r="M255" s="61" t="s">
        <v>238</v>
      </c>
      <c r="N255" s="61"/>
      <c r="O255" s="61" t="s">
        <v>236</v>
      </c>
      <c r="P255" s="61"/>
      <c r="Q255" s="79">
        <f t="shared" si="34"/>
        <v>2.8985507246376812E-3</v>
      </c>
      <c r="R255" s="79"/>
    </row>
    <row r="256" spans="1:18" x14ac:dyDescent="0.35">
      <c r="A256" s="105"/>
      <c r="B256" s="105"/>
      <c r="C256" s="60" t="s">
        <v>349</v>
      </c>
      <c r="D256" s="55"/>
      <c r="E256" s="56"/>
      <c r="F256" s="60" t="s">
        <v>386</v>
      </c>
      <c r="G256" s="55"/>
      <c r="H256" s="55"/>
      <c r="I256" s="56"/>
      <c r="J256" s="2">
        <v>2</v>
      </c>
      <c r="K256" s="4">
        <v>900</v>
      </c>
      <c r="L256" s="4">
        <f t="shared" si="33"/>
        <v>1800</v>
      </c>
      <c r="M256" s="61" t="s">
        <v>415</v>
      </c>
      <c r="N256" s="61"/>
      <c r="O256" s="61" t="s">
        <v>236</v>
      </c>
      <c r="P256" s="61"/>
      <c r="Q256" s="79">
        <f t="shared" si="34"/>
        <v>4.3478260869565218E-3</v>
      </c>
      <c r="R256" s="79"/>
    </row>
    <row r="257" spans="1:18" x14ac:dyDescent="0.35">
      <c r="A257" s="105"/>
      <c r="B257" s="105"/>
      <c r="C257" s="77" t="s">
        <v>350</v>
      </c>
      <c r="D257" s="119"/>
      <c r="E257" s="78"/>
      <c r="F257" s="77" t="s">
        <v>414</v>
      </c>
      <c r="G257" s="119"/>
      <c r="H257" s="119"/>
      <c r="I257" s="78"/>
      <c r="J257" s="2">
        <v>1</v>
      </c>
      <c r="K257" s="4">
        <v>300</v>
      </c>
      <c r="L257" s="4">
        <f t="shared" si="33"/>
        <v>300</v>
      </c>
      <c r="M257" s="61" t="s">
        <v>238</v>
      </c>
      <c r="N257" s="61"/>
      <c r="O257" s="61" t="s">
        <v>236</v>
      </c>
      <c r="P257" s="61"/>
      <c r="Q257" s="79">
        <f t="shared" si="34"/>
        <v>7.246376811594203E-4</v>
      </c>
      <c r="R257" s="79"/>
    </row>
    <row r="258" spans="1:18" ht="15" thickBot="1" x14ac:dyDescent="0.4">
      <c r="A258" s="105"/>
      <c r="B258" s="105"/>
      <c r="C258" s="58" t="s">
        <v>2</v>
      </c>
      <c r="D258" s="58"/>
      <c r="E258" s="58"/>
      <c r="F258" s="58"/>
      <c r="G258" s="58"/>
      <c r="H258" s="58"/>
      <c r="I258" s="58"/>
      <c r="J258" s="6">
        <f>SUM(J251:J257)</f>
        <v>31</v>
      </c>
      <c r="K258" s="7">
        <f>SUM(K251:K257)</f>
        <v>5000</v>
      </c>
      <c r="L258" s="7">
        <f>SUM(L251:L257)</f>
        <v>21900</v>
      </c>
      <c r="M258" s="58"/>
      <c r="N258" s="58"/>
      <c r="O258" s="58"/>
      <c r="P258" s="58"/>
      <c r="Q258" s="63">
        <f>SUM(Q251:R257)</f>
        <v>5.2898550724637686E-2</v>
      </c>
      <c r="R258" s="58"/>
    </row>
    <row r="259" spans="1:18" ht="15.5" thickTop="1" thickBot="1" x14ac:dyDescent="0.4">
      <c r="A259" s="102" t="s">
        <v>176</v>
      </c>
      <c r="B259" s="102"/>
      <c r="C259" s="50" t="s">
        <v>170</v>
      </c>
      <c r="D259" s="50"/>
      <c r="E259" s="50"/>
      <c r="F259" s="50" t="s">
        <v>177</v>
      </c>
      <c r="G259" s="50"/>
      <c r="H259" s="50"/>
      <c r="I259" s="50"/>
      <c r="J259" s="50"/>
      <c r="K259" s="26" t="s">
        <v>178</v>
      </c>
      <c r="L259" s="26"/>
      <c r="M259" s="3" t="s">
        <v>171</v>
      </c>
      <c r="N259" s="3" t="s">
        <v>173</v>
      </c>
      <c r="O259" s="36" t="s">
        <v>174</v>
      </c>
      <c r="P259" s="36"/>
      <c r="Q259" s="26" t="s">
        <v>161</v>
      </c>
      <c r="R259" s="26"/>
    </row>
    <row r="260" spans="1:18" x14ac:dyDescent="0.35">
      <c r="A260" s="102"/>
      <c r="B260" s="102"/>
      <c r="C260" s="76" t="s">
        <v>334</v>
      </c>
      <c r="D260" s="52"/>
      <c r="E260" s="53"/>
      <c r="F260" s="76" t="s">
        <v>384</v>
      </c>
      <c r="G260" s="52"/>
      <c r="H260" s="52"/>
      <c r="I260" s="52"/>
      <c r="J260" s="53"/>
      <c r="K260" s="59" t="s">
        <v>249</v>
      </c>
      <c r="L260" s="59"/>
      <c r="M260" s="12">
        <v>4</v>
      </c>
      <c r="N260" s="18">
        <v>600</v>
      </c>
      <c r="O260" s="85">
        <f>(N260*M260)</f>
        <v>2400</v>
      </c>
      <c r="P260" s="59"/>
      <c r="Q260" s="89">
        <f>(O260)/414000</f>
        <v>5.7971014492753624E-3</v>
      </c>
      <c r="R260" s="89"/>
    </row>
    <row r="261" spans="1:18" x14ac:dyDescent="0.35">
      <c r="A261" s="102"/>
      <c r="B261" s="102"/>
      <c r="C261" s="60" t="s">
        <v>335</v>
      </c>
      <c r="D261" s="55"/>
      <c r="E261" s="56"/>
      <c r="F261" s="60" t="s">
        <v>383</v>
      </c>
      <c r="G261" s="55"/>
      <c r="H261" s="55"/>
      <c r="I261" s="55"/>
      <c r="J261" s="56"/>
      <c r="K261" s="61" t="s">
        <v>249</v>
      </c>
      <c r="L261" s="61"/>
      <c r="M261" s="2">
        <v>4</v>
      </c>
      <c r="N261" s="19">
        <v>800</v>
      </c>
      <c r="O261" s="85">
        <f t="shared" ref="O261:O269" si="35">(N261*M261)</f>
        <v>3200</v>
      </c>
      <c r="P261" s="59"/>
      <c r="Q261" s="89">
        <f t="shared" ref="Q261:Q269" si="36">(O261)/414000</f>
        <v>7.7294685990338162E-3</v>
      </c>
      <c r="R261" s="89"/>
    </row>
    <row r="262" spans="1:18" x14ac:dyDescent="0.35">
      <c r="A262" s="102"/>
      <c r="B262" s="102"/>
      <c r="C262" s="60" t="s">
        <v>336</v>
      </c>
      <c r="D262" s="55"/>
      <c r="E262" s="56"/>
      <c r="F262" s="60" t="s">
        <v>382</v>
      </c>
      <c r="G262" s="55"/>
      <c r="H262" s="55"/>
      <c r="I262" s="55"/>
      <c r="J262" s="56"/>
      <c r="K262" s="61" t="s">
        <v>249</v>
      </c>
      <c r="L262" s="61"/>
      <c r="M262" s="2">
        <v>3</v>
      </c>
      <c r="N262" s="19">
        <v>700</v>
      </c>
      <c r="O262" s="85">
        <f t="shared" si="35"/>
        <v>2100</v>
      </c>
      <c r="P262" s="59"/>
      <c r="Q262" s="89">
        <f t="shared" si="36"/>
        <v>5.0724637681159417E-3</v>
      </c>
      <c r="R262" s="89"/>
    </row>
    <row r="263" spans="1:18" x14ac:dyDescent="0.35">
      <c r="A263" s="102"/>
      <c r="B263" s="102"/>
      <c r="C263" s="60" t="s">
        <v>337</v>
      </c>
      <c r="D263" s="55"/>
      <c r="E263" s="56"/>
      <c r="F263" s="60" t="s">
        <v>381</v>
      </c>
      <c r="G263" s="55"/>
      <c r="H263" s="55"/>
      <c r="I263" s="55"/>
      <c r="J263" s="56"/>
      <c r="K263" s="61" t="s">
        <v>249</v>
      </c>
      <c r="L263" s="61"/>
      <c r="M263" s="2">
        <v>6</v>
      </c>
      <c r="N263" s="19">
        <v>1000</v>
      </c>
      <c r="O263" s="85">
        <f t="shared" si="35"/>
        <v>6000</v>
      </c>
      <c r="P263" s="59"/>
      <c r="Q263" s="89">
        <f t="shared" si="36"/>
        <v>1.4492753623188406E-2</v>
      </c>
      <c r="R263" s="89"/>
    </row>
    <row r="264" spans="1:18" x14ac:dyDescent="0.35">
      <c r="A264" s="102"/>
      <c r="B264" s="102"/>
      <c r="C264" s="60" t="s">
        <v>338</v>
      </c>
      <c r="D264" s="55"/>
      <c r="E264" s="56"/>
      <c r="F264" s="60" t="s">
        <v>380</v>
      </c>
      <c r="G264" s="55"/>
      <c r="H264" s="55"/>
      <c r="I264" s="55"/>
      <c r="J264" s="56"/>
      <c r="K264" s="61" t="s">
        <v>249</v>
      </c>
      <c r="L264" s="61"/>
      <c r="M264" s="2">
        <v>4</v>
      </c>
      <c r="N264" s="19">
        <v>800</v>
      </c>
      <c r="O264" s="85">
        <f t="shared" si="35"/>
        <v>3200</v>
      </c>
      <c r="P264" s="59"/>
      <c r="Q264" s="89">
        <f t="shared" si="36"/>
        <v>7.7294685990338162E-3</v>
      </c>
      <c r="R264" s="89"/>
    </row>
    <row r="265" spans="1:18" x14ac:dyDescent="0.35">
      <c r="A265" s="102"/>
      <c r="B265" s="102"/>
      <c r="C265" s="60" t="s">
        <v>339</v>
      </c>
      <c r="D265" s="55"/>
      <c r="E265" s="56"/>
      <c r="F265" s="60" t="s">
        <v>379</v>
      </c>
      <c r="G265" s="55"/>
      <c r="H265" s="55"/>
      <c r="I265" s="55"/>
      <c r="J265" s="56"/>
      <c r="K265" s="60" t="s">
        <v>352</v>
      </c>
      <c r="L265" s="56"/>
      <c r="M265" s="2">
        <v>4</v>
      </c>
      <c r="N265" s="19">
        <v>500</v>
      </c>
      <c r="O265" s="85">
        <f t="shared" si="35"/>
        <v>2000</v>
      </c>
      <c r="P265" s="59"/>
      <c r="Q265" s="89">
        <f t="shared" si="36"/>
        <v>4.830917874396135E-3</v>
      </c>
      <c r="R265" s="89"/>
    </row>
    <row r="266" spans="1:18" x14ac:dyDescent="0.35">
      <c r="A266" s="102"/>
      <c r="B266" s="102"/>
      <c r="C266" s="60" t="s">
        <v>342</v>
      </c>
      <c r="D266" s="55"/>
      <c r="E266" s="56"/>
      <c r="F266" s="60" t="s">
        <v>375</v>
      </c>
      <c r="G266" s="55"/>
      <c r="H266" s="55"/>
      <c r="I266" s="55"/>
      <c r="J266" s="56"/>
      <c r="K266" s="60" t="s">
        <v>249</v>
      </c>
      <c r="L266" s="56"/>
      <c r="M266" s="2">
        <v>2</v>
      </c>
      <c r="N266" s="19">
        <v>400</v>
      </c>
      <c r="O266" s="85">
        <f t="shared" si="35"/>
        <v>800</v>
      </c>
      <c r="P266" s="59"/>
      <c r="Q266" s="89">
        <f t="shared" si="36"/>
        <v>1.9323671497584541E-3</v>
      </c>
      <c r="R266" s="89"/>
    </row>
    <row r="267" spans="1:18" x14ac:dyDescent="0.35">
      <c r="A267" s="102"/>
      <c r="B267" s="102"/>
      <c r="C267" s="60" t="s">
        <v>343</v>
      </c>
      <c r="D267" s="55"/>
      <c r="E267" s="56"/>
      <c r="F267" s="60" t="s">
        <v>376</v>
      </c>
      <c r="G267" s="55"/>
      <c r="H267" s="55"/>
      <c r="I267" s="55"/>
      <c r="J267" s="56"/>
      <c r="K267" s="60" t="s">
        <v>249</v>
      </c>
      <c r="L267" s="56"/>
      <c r="M267" s="2">
        <v>2</v>
      </c>
      <c r="N267" s="19">
        <v>900</v>
      </c>
      <c r="O267" s="85">
        <f t="shared" si="35"/>
        <v>1800</v>
      </c>
      <c r="P267" s="59"/>
      <c r="Q267" s="89">
        <f t="shared" si="36"/>
        <v>4.3478260869565218E-3</v>
      </c>
      <c r="R267" s="89"/>
    </row>
    <row r="268" spans="1:18" x14ac:dyDescent="0.35">
      <c r="A268" s="102"/>
      <c r="B268" s="102"/>
      <c r="C268" s="60" t="s">
        <v>340</v>
      </c>
      <c r="D268" s="55"/>
      <c r="E268" s="56"/>
      <c r="F268" s="60" t="s">
        <v>378</v>
      </c>
      <c r="G268" s="55"/>
      <c r="H268" s="55"/>
      <c r="I268" s="55"/>
      <c r="J268" s="56"/>
      <c r="K268" s="60" t="s">
        <v>249</v>
      </c>
      <c r="L268" s="56"/>
      <c r="M268" s="2">
        <v>6</v>
      </c>
      <c r="N268" s="19">
        <v>1000</v>
      </c>
      <c r="O268" s="85">
        <f t="shared" si="35"/>
        <v>6000</v>
      </c>
      <c r="P268" s="59"/>
      <c r="Q268" s="89">
        <f t="shared" si="36"/>
        <v>1.4492753623188406E-2</v>
      </c>
      <c r="R268" s="89"/>
    </row>
    <row r="269" spans="1:18" x14ac:dyDescent="0.35">
      <c r="A269" s="102"/>
      <c r="B269" s="102"/>
      <c r="C269" s="77" t="s">
        <v>341</v>
      </c>
      <c r="D269" s="119"/>
      <c r="E269" s="78"/>
      <c r="F269" s="77" t="s">
        <v>377</v>
      </c>
      <c r="G269" s="119"/>
      <c r="H269" s="119"/>
      <c r="I269" s="119"/>
      <c r="J269" s="78"/>
      <c r="K269" s="77" t="s">
        <v>249</v>
      </c>
      <c r="L269" s="78"/>
      <c r="M269" s="13">
        <v>4</v>
      </c>
      <c r="N269" s="20">
        <v>750</v>
      </c>
      <c r="O269" s="85">
        <f t="shared" si="35"/>
        <v>3000</v>
      </c>
      <c r="P269" s="59"/>
      <c r="Q269" s="89">
        <f t="shared" si="36"/>
        <v>7.246376811594203E-3</v>
      </c>
      <c r="R269" s="89"/>
    </row>
    <row r="270" spans="1:18" ht="15" thickBot="1" x14ac:dyDescent="0.4">
      <c r="A270" s="102"/>
      <c r="B270" s="102"/>
      <c r="C270" s="58" t="s">
        <v>2</v>
      </c>
      <c r="D270" s="58"/>
      <c r="E270" s="58"/>
      <c r="F270" s="58"/>
      <c r="G270" s="58"/>
      <c r="H270" s="58"/>
      <c r="I270" s="58"/>
      <c r="J270" s="58"/>
      <c r="K270" s="58"/>
      <c r="L270" s="58"/>
      <c r="M270" s="6">
        <f>SUM(M260:M269)</f>
        <v>39</v>
      </c>
      <c r="N270" s="7">
        <f>SUM(N260:N269)</f>
        <v>7450</v>
      </c>
      <c r="O270" s="57">
        <f>SUM(O260:P269)</f>
        <v>30500</v>
      </c>
      <c r="P270" s="58"/>
      <c r="Q270" s="63">
        <f>SUM(Q260:R269)</f>
        <v>7.3671497584541071E-2</v>
      </c>
      <c r="R270" s="58"/>
    </row>
    <row r="271" spans="1:18" ht="15.5" thickTop="1" thickBot="1" x14ac:dyDescent="0.4">
      <c r="A271" s="100" t="s">
        <v>179</v>
      </c>
      <c r="B271" s="101"/>
      <c r="C271" s="26" t="s">
        <v>4</v>
      </c>
      <c r="D271" s="26"/>
      <c r="E271" s="26" t="s">
        <v>6</v>
      </c>
      <c r="F271" s="26"/>
      <c r="G271" s="26"/>
      <c r="H271" s="26"/>
      <c r="I271" s="26" t="s">
        <v>180</v>
      </c>
      <c r="J271" s="26"/>
      <c r="K271" s="26" t="s">
        <v>163</v>
      </c>
      <c r="L271" s="26"/>
      <c r="M271" s="36" t="s">
        <v>173</v>
      </c>
      <c r="N271" s="36"/>
      <c r="O271" s="36" t="s">
        <v>174</v>
      </c>
      <c r="P271" s="36"/>
      <c r="Q271" s="26" t="s">
        <v>161</v>
      </c>
      <c r="R271" s="26"/>
    </row>
    <row r="272" spans="1:18" x14ac:dyDescent="0.35">
      <c r="A272" s="101"/>
      <c r="B272" s="101"/>
      <c r="C272" s="59" t="s">
        <v>181</v>
      </c>
      <c r="D272" s="59"/>
      <c r="E272" s="59" t="s">
        <v>223</v>
      </c>
      <c r="F272" s="59"/>
      <c r="G272" s="59"/>
      <c r="H272" s="59"/>
      <c r="I272" s="115"/>
      <c r="J272" s="115"/>
      <c r="K272" s="59">
        <v>4</v>
      </c>
      <c r="L272" s="59"/>
      <c r="M272" s="85">
        <v>800</v>
      </c>
      <c r="N272" s="59"/>
      <c r="O272" s="85">
        <f>(M272*K272)</f>
        <v>3200</v>
      </c>
      <c r="P272" s="59"/>
      <c r="Q272" s="70">
        <f>(O272)/414000</f>
        <v>7.7294685990338162E-3</v>
      </c>
      <c r="R272" s="72"/>
    </row>
    <row r="273" spans="1:18" x14ac:dyDescent="0.35">
      <c r="A273" s="101"/>
      <c r="B273" s="101"/>
      <c r="C273" s="61" t="s">
        <v>182</v>
      </c>
      <c r="D273" s="61"/>
      <c r="E273" s="61" t="s">
        <v>224</v>
      </c>
      <c r="F273" s="61"/>
      <c r="G273" s="61"/>
      <c r="H273" s="61"/>
      <c r="I273" s="113"/>
      <c r="J273" s="113"/>
      <c r="K273" s="61">
        <v>4</v>
      </c>
      <c r="L273" s="61"/>
      <c r="M273" s="88">
        <v>300</v>
      </c>
      <c r="N273" s="61"/>
      <c r="O273" s="85">
        <f>(M273*K273)</f>
        <v>1200</v>
      </c>
      <c r="P273" s="59"/>
      <c r="Q273" s="70">
        <f t="shared" ref="Q273:Q279" si="37">(O273)/414000</f>
        <v>2.8985507246376812E-3</v>
      </c>
      <c r="R273" s="72"/>
    </row>
    <row r="274" spans="1:18" x14ac:dyDescent="0.35">
      <c r="A274" s="101"/>
      <c r="B274" s="101"/>
      <c r="C274" s="61" t="s">
        <v>183</v>
      </c>
      <c r="D274" s="61"/>
      <c r="E274" s="61" t="s">
        <v>244</v>
      </c>
      <c r="F274" s="61"/>
      <c r="G274" s="61"/>
      <c r="H274" s="61"/>
      <c r="I274" s="113"/>
      <c r="J274" s="113"/>
      <c r="K274" s="61">
        <v>4</v>
      </c>
      <c r="L274" s="61"/>
      <c r="M274" s="88">
        <v>400</v>
      </c>
      <c r="N274" s="61"/>
      <c r="O274" s="85">
        <f t="shared" ref="O274:O279" si="38">(M274*K274)</f>
        <v>1600</v>
      </c>
      <c r="P274" s="59"/>
      <c r="Q274" s="70">
        <f t="shared" si="37"/>
        <v>3.8647342995169081E-3</v>
      </c>
      <c r="R274" s="72"/>
    </row>
    <row r="275" spans="1:18" x14ac:dyDescent="0.35">
      <c r="A275" s="101"/>
      <c r="B275" s="101"/>
      <c r="C275" s="61" t="s">
        <v>184</v>
      </c>
      <c r="D275" s="61"/>
      <c r="E275" s="61" t="s">
        <v>245</v>
      </c>
      <c r="F275" s="61"/>
      <c r="G275" s="61"/>
      <c r="H275" s="61"/>
      <c r="I275" s="113"/>
      <c r="J275" s="113"/>
      <c r="K275" s="61">
        <v>4</v>
      </c>
      <c r="L275" s="61"/>
      <c r="M275" s="88">
        <v>200</v>
      </c>
      <c r="N275" s="61"/>
      <c r="O275" s="85">
        <f t="shared" si="38"/>
        <v>800</v>
      </c>
      <c r="P275" s="59"/>
      <c r="Q275" s="70">
        <f t="shared" si="37"/>
        <v>1.9323671497584541E-3</v>
      </c>
      <c r="R275" s="72"/>
    </row>
    <row r="276" spans="1:18" x14ac:dyDescent="0.35">
      <c r="A276" s="101"/>
      <c r="B276" s="101"/>
      <c r="C276" s="61" t="s">
        <v>185</v>
      </c>
      <c r="D276" s="61"/>
      <c r="E276" s="61" t="s">
        <v>246</v>
      </c>
      <c r="F276" s="61"/>
      <c r="G276" s="61"/>
      <c r="H276" s="61"/>
      <c r="I276" s="113"/>
      <c r="J276" s="113"/>
      <c r="K276" s="61">
        <v>4</v>
      </c>
      <c r="L276" s="61"/>
      <c r="M276" s="88">
        <v>700</v>
      </c>
      <c r="N276" s="61"/>
      <c r="O276" s="85">
        <f t="shared" si="38"/>
        <v>2800</v>
      </c>
      <c r="P276" s="59"/>
      <c r="Q276" s="70">
        <f t="shared" si="37"/>
        <v>6.7632850241545897E-3</v>
      </c>
      <c r="R276" s="72"/>
    </row>
    <row r="277" spans="1:18" x14ac:dyDescent="0.35">
      <c r="A277" s="101"/>
      <c r="B277" s="101"/>
      <c r="C277" s="61" t="s">
        <v>186</v>
      </c>
      <c r="D277" s="61"/>
      <c r="E277" s="61" t="s">
        <v>247</v>
      </c>
      <c r="F277" s="61"/>
      <c r="G277" s="61"/>
      <c r="H277" s="61"/>
      <c r="I277" s="113"/>
      <c r="J277" s="113"/>
      <c r="K277" s="61">
        <v>4</v>
      </c>
      <c r="L277" s="61"/>
      <c r="M277" s="88">
        <v>100</v>
      </c>
      <c r="N277" s="61"/>
      <c r="O277" s="85">
        <f t="shared" si="38"/>
        <v>400</v>
      </c>
      <c r="P277" s="59"/>
      <c r="Q277" s="70">
        <f t="shared" si="37"/>
        <v>9.6618357487922703E-4</v>
      </c>
      <c r="R277" s="72"/>
    </row>
    <row r="278" spans="1:18" x14ac:dyDescent="0.35">
      <c r="A278" s="101"/>
      <c r="B278" s="101"/>
      <c r="C278" s="61" t="s">
        <v>189</v>
      </c>
      <c r="D278" s="61"/>
      <c r="E278" s="60" t="s">
        <v>248</v>
      </c>
      <c r="F278" s="55"/>
      <c r="G278" s="55"/>
      <c r="H278" s="56"/>
      <c r="I278" s="86"/>
      <c r="J278" s="87"/>
      <c r="K278" s="60">
        <v>4</v>
      </c>
      <c r="L278" s="56"/>
      <c r="M278" s="54">
        <v>500</v>
      </c>
      <c r="N278" s="56"/>
      <c r="O278" s="85">
        <f t="shared" si="38"/>
        <v>2000</v>
      </c>
      <c r="P278" s="59"/>
      <c r="Q278" s="70">
        <f t="shared" si="37"/>
        <v>4.830917874396135E-3</v>
      </c>
      <c r="R278" s="72"/>
    </row>
    <row r="279" spans="1:18" x14ac:dyDescent="0.35">
      <c r="A279" s="101"/>
      <c r="B279" s="101"/>
      <c r="C279" s="61" t="s">
        <v>187</v>
      </c>
      <c r="D279" s="61"/>
      <c r="E279" s="61" t="s">
        <v>397</v>
      </c>
      <c r="F279" s="61"/>
      <c r="G279" s="61"/>
      <c r="H279" s="61"/>
      <c r="I279" s="114"/>
      <c r="J279" s="114"/>
      <c r="K279" s="61">
        <v>4</v>
      </c>
      <c r="L279" s="61"/>
      <c r="M279" s="88">
        <v>400</v>
      </c>
      <c r="N279" s="61"/>
      <c r="O279" s="85">
        <f t="shared" si="38"/>
        <v>1600</v>
      </c>
      <c r="P279" s="59"/>
      <c r="Q279" s="70">
        <f t="shared" si="37"/>
        <v>3.8647342995169081E-3</v>
      </c>
      <c r="R279" s="72"/>
    </row>
    <row r="280" spans="1:18" x14ac:dyDescent="0.35">
      <c r="A280" s="5"/>
      <c r="B280" s="5"/>
      <c r="C280" s="58" t="s">
        <v>2</v>
      </c>
      <c r="D280" s="58"/>
      <c r="E280" s="58"/>
      <c r="F280" s="58"/>
      <c r="G280" s="58"/>
      <c r="H280" s="58"/>
      <c r="I280" s="58"/>
      <c r="J280" s="58"/>
      <c r="K280" s="58"/>
      <c r="L280" s="58"/>
      <c r="M280" s="57">
        <f>SUM(M272:N279)</f>
        <v>3400</v>
      </c>
      <c r="N280" s="58"/>
      <c r="O280" s="57">
        <f>SUM(O272:P279)</f>
        <v>13600</v>
      </c>
      <c r="P280" s="58"/>
      <c r="Q280" s="63">
        <f>SUM(Q272:R279)</f>
        <v>3.2850241545893721E-2</v>
      </c>
      <c r="R280" s="58"/>
    </row>
    <row r="281" spans="1:18" x14ac:dyDescent="0.35">
      <c r="A281" s="94" t="s">
        <v>192</v>
      </c>
      <c r="B281" s="95"/>
      <c r="C281" s="50" t="s">
        <v>4</v>
      </c>
      <c r="D281" s="50"/>
      <c r="E281" s="50"/>
      <c r="F281" s="50" t="s">
        <v>6</v>
      </c>
      <c r="G281" s="50"/>
      <c r="H281" s="50"/>
      <c r="I281" s="50"/>
      <c r="J281" s="9" t="s">
        <v>171</v>
      </c>
      <c r="K281" s="26" t="s">
        <v>193</v>
      </c>
      <c r="L281" s="26"/>
      <c r="M281" s="26" t="s">
        <v>194</v>
      </c>
      <c r="N281" s="26"/>
      <c r="O281" s="26" t="s">
        <v>174</v>
      </c>
      <c r="P281" s="26"/>
      <c r="Q281" s="26" t="s">
        <v>161</v>
      </c>
      <c r="R281" s="26"/>
    </row>
    <row r="282" spans="1:18" x14ac:dyDescent="0.35">
      <c r="A282" s="95"/>
      <c r="B282" s="95"/>
      <c r="C282" s="76" t="s">
        <v>330</v>
      </c>
      <c r="D282" s="52"/>
      <c r="E282" s="53"/>
      <c r="F282" s="76"/>
      <c r="G282" s="52"/>
      <c r="H282" s="52"/>
      <c r="I282" s="53"/>
      <c r="J282" s="10"/>
      <c r="K282" s="59"/>
      <c r="L282" s="59"/>
      <c r="M282" s="59"/>
      <c r="N282" s="59"/>
      <c r="O282" s="59"/>
      <c r="P282" s="59"/>
      <c r="Q282" s="59"/>
      <c r="R282" s="59"/>
    </row>
    <row r="283" spans="1:18" x14ac:dyDescent="0.35">
      <c r="A283" s="95"/>
      <c r="B283" s="95"/>
      <c r="C283" s="60" t="s">
        <v>331</v>
      </c>
      <c r="D283" s="55"/>
      <c r="E283" s="56"/>
      <c r="F283" s="60" t="s">
        <v>374</v>
      </c>
      <c r="G283" s="55"/>
      <c r="H283" s="55"/>
      <c r="I283" s="56"/>
      <c r="J283" s="2"/>
      <c r="K283" s="61"/>
      <c r="L283" s="61"/>
      <c r="M283" s="61"/>
      <c r="N283" s="61"/>
      <c r="O283" s="61"/>
      <c r="P283" s="61"/>
      <c r="Q283" s="61"/>
      <c r="R283" s="61"/>
    </row>
    <row r="284" spans="1:18" x14ac:dyDescent="0.35">
      <c r="A284" s="95"/>
      <c r="B284" s="95"/>
      <c r="C284" s="60" t="s">
        <v>332</v>
      </c>
      <c r="D284" s="55"/>
      <c r="E284" s="56"/>
      <c r="F284" s="60"/>
      <c r="G284" s="55"/>
      <c r="H284" s="55"/>
      <c r="I284" s="56"/>
      <c r="J284" s="2"/>
      <c r="K284" s="61"/>
      <c r="L284" s="61"/>
      <c r="M284" s="61"/>
      <c r="N284" s="61"/>
      <c r="O284" s="61"/>
      <c r="P284" s="61"/>
      <c r="Q284" s="61"/>
      <c r="R284" s="61"/>
    </row>
    <row r="285" spans="1:18" x14ac:dyDescent="0.35">
      <c r="A285" s="95"/>
      <c r="B285" s="95"/>
      <c r="C285" s="60" t="s">
        <v>333</v>
      </c>
      <c r="D285" s="55"/>
      <c r="E285" s="56"/>
      <c r="F285" s="60"/>
      <c r="G285" s="55"/>
      <c r="H285" s="55"/>
      <c r="I285" s="56"/>
      <c r="J285" s="2"/>
      <c r="K285" s="61"/>
      <c r="L285" s="61"/>
      <c r="M285" s="61"/>
      <c r="N285" s="61"/>
      <c r="O285" s="61"/>
      <c r="P285" s="61"/>
      <c r="Q285" s="61"/>
      <c r="R285" s="61"/>
    </row>
    <row r="286" spans="1:18" x14ac:dyDescent="0.35">
      <c r="A286" s="95"/>
      <c r="B286" s="95"/>
      <c r="C286" s="60"/>
      <c r="D286" s="55"/>
      <c r="E286" s="56"/>
      <c r="F286" s="60"/>
      <c r="G286" s="55"/>
      <c r="H286" s="55"/>
      <c r="I286" s="56"/>
      <c r="J286" s="2"/>
      <c r="K286" s="61"/>
      <c r="L286" s="61"/>
      <c r="M286" s="61"/>
      <c r="N286" s="61"/>
      <c r="O286" s="61"/>
      <c r="P286" s="61"/>
      <c r="Q286" s="61"/>
      <c r="R286" s="61"/>
    </row>
    <row r="287" spans="1:18" x14ac:dyDescent="0.35">
      <c r="A287" s="95"/>
      <c r="B287" s="95"/>
      <c r="C287" s="77"/>
      <c r="D287" s="119"/>
      <c r="E287" s="78"/>
      <c r="F287" s="60"/>
      <c r="G287" s="55"/>
      <c r="H287" s="55"/>
      <c r="I287" s="56"/>
      <c r="J287" s="2"/>
      <c r="K287" s="61"/>
      <c r="L287" s="61"/>
      <c r="M287" s="61"/>
      <c r="N287" s="61"/>
      <c r="O287" s="61"/>
      <c r="P287" s="61"/>
      <c r="Q287" s="61"/>
      <c r="R287" s="61"/>
    </row>
    <row r="288" spans="1:18" x14ac:dyDescent="0.35">
      <c r="A288" s="95"/>
      <c r="B288" s="95"/>
      <c r="C288" s="58" t="s">
        <v>2</v>
      </c>
      <c r="D288" s="58"/>
      <c r="E288" s="58"/>
      <c r="F288" s="58"/>
      <c r="G288" s="58"/>
      <c r="H288" s="58"/>
      <c r="I288" s="58"/>
      <c r="J288" s="6"/>
      <c r="K288" s="58"/>
      <c r="L288" s="58"/>
      <c r="M288" s="58"/>
      <c r="N288" s="58"/>
      <c r="O288" s="58"/>
      <c r="P288" s="58"/>
      <c r="Q288" s="58"/>
      <c r="R288" s="58"/>
    </row>
    <row r="289" spans="1:18" x14ac:dyDescent="0.35">
      <c r="A289" s="93" t="s">
        <v>42</v>
      </c>
      <c r="B289" s="93"/>
      <c r="C289" s="26" t="s">
        <v>195</v>
      </c>
      <c r="D289" s="26"/>
      <c r="E289" s="26" t="s">
        <v>6</v>
      </c>
      <c r="F289" s="26"/>
      <c r="G289" s="26"/>
      <c r="H289" s="26"/>
      <c r="I289" s="50" t="s">
        <v>194</v>
      </c>
      <c r="J289" s="50"/>
      <c r="K289" s="50"/>
      <c r="L289" s="50"/>
      <c r="M289" s="26" t="s">
        <v>174</v>
      </c>
      <c r="N289" s="26"/>
      <c r="O289" s="26" t="s">
        <v>161</v>
      </c>
      <c r="P289" s="26"/>
      <c r="Q289" s="26"/>
      <c r="R289" s="26"/>
    </row>
    <row r="290" spans="1:18" x14ac:dyDescent="0.35">
      <c r="A290" s="93"/>
      <c r="B290" s="93"/>
      <c r="C290" s="59" t="s">
        <v>196</v>
      </c>
      <c r="D290" s="59"/>
      <c r="E290" s="59"/>
      <c r="F290" s="59"/>
      <c r="G290" s="59"/>
      <c r="H290" s="59"/>
      <c r="I290" s="51">
        <v>4000</v>
      </c>
      <c r="J290" s="52"/>
      <c r="K290" s="52"/>
      <c r="L290" s="53"/>
      <c r="M290" s="85">
        <v>4000</v>
      </c>
      <c r="N290" s="59"/>
      <c r="O290" s="70">
        <f>(M290)/414000</f>
        <v>9.6618357487922701E-3</v>
      </c>
      <c r="P290" s="71"/>
      <c r="Q290" s="71"/>
      <c r="R290" s="72"/>
    </row>
    <row r="291" spans="1:18" x14ac:dyDescent="0.35">
      <c r="A291" s="93"/>
      <c r="B291" s="93"/>
      <c r="C291" s="61" t="s">
        <v>250</v>
      </c>
      <c r="D291" s="61"/>
      <c r="E291" s="61"/>
      <c r="F291" s="61"/>
      <c r="G291" s="61"/>
      <c r="H291" s="61"/>
      <c r="I291" s="54">
        <v>4000</v>
      </c>
      <c r="J291" s="55"/>
      <c r="K291" s="55"/>
      <c r="L291" s="56"/>
      <c r="M291" s="88">
        <v>4000</v>
      </c>
      <c r="N291" s="61"/>
      <c r="O291" s="70">
        <f t="shared" ref="O291:O293" si="39">(M291)/414000</f>
        <v>9.6618357487922701E-3</v>
      </c>
      <c r="P291" s="71"/>
      <c r="Q291" s="71"/>
      <c r="R291" s="72"/>
    </row>
    <row r="292" spans="1:18" x14ac:dyDescent="0.35">
      <c r="A292" s="93"/>
      <c r="B292" s="93"/>
      <c r="C292" s="61" t="s">
        <v>198</v>
      </c>
      <c r="D292" s="61"/>
      <c r="E292" s="61"/>
      <c r="F292" s="61"/>
      <c r="G292" s="61"/>
      <c r="H292" s="61"/>
      <c r="I292" s="54">
        <v>3500</v>
      </c>
      <c r="J292" s="55"/>
      <c r="K292" s="55"/>
      <c r="L292" s="56"/>
      <c r="M292" s="88">
        <v>3500</v>
      </c>
      <c r="N292" s="61"/>
      <c r="O292" s="70">
        <f>(M292)/414000</f>
        <v>8.4541062801932361E-3</v>
      </c>
      <c r="P292" s="71"/>
      <c r="Q292" s="71"/>
      <c r="R292" s="72"/>
    </row>
    <row r="293" spans="1:18" x14ac:dyDescent="0.35">
      <c r="A293" s="93"/>
      <c r="B293" s="93"/>
      <c r="C293" s="61" t="s">
        <v>199</v>
      </c>
      <c r="D293" s="61"/>
      <c r="E293" s="61"/>
      <c r="F293" s="61"/>
      <c r="G293" s="61"/>
      <c r="H293" s="61"/>
      <c r="I293" s="54">
        <v>2500</v>
      </c>
      <c r="J293" s="55"/>
      <c r="K293" s="55"/>
      <c r="L293" s="56"/>
      <c r="M293" s="88">
        <v>2500</v>
      </c>
      <c r="N293" s="61"/>
      <c r="O293" s="70">
        <f t="shared" si="39"/>
        <v>6.038647342995169E-3</v>
      </c>
      <c r="P293" s="71"/>
      <c r="Q293" s="71"/>
      <c r="R293" s="72"/>
    </row>
    <row r="294" spans="1:18" x14ac:dyDescent="0.35">
      <c r="A294" s="93"/>
      <c r="B294" s="93"/>
      <c r="C294" s="58" t="s">
        <v>2</v>
      </c>
      <c r="D294" s="58"/>
      <c r="E294" s="58"/>
      <c r="F294" s="58"/>
      <c r="G294" s="58"/>
      <c r="H294" s="58"/>
      <c r="I294" s="57">
        <f>SUM(I290:L293)</f>
        <v>14000</v>
      </c>
      <c r="J294" s="58"/>
      <c r="K294" s="58"/>
      <c r="L294" s="58"/>
      <c r="M294" s="57">
        <f>SUM(M290:N293)</f>
        <v>14000</v>
      </c>
      <c r="N294" s="58"/>
      <c r="O294" s="63">
        <f>SUM(O290:R293)</f>
        <v>3.3816425120772944E-2</v>
      </c>
      <c r="P294" s="58"/>
      <c r="Q294" s="58"/>
      <c r="R294" s="58"/>
    </row>
    <row r="318" spans="1:18" x14ac:dyDescent="0.35">
      <c r="A318" s="108" t="s">
        <v>115</v>
      </c>
      <c r="B318" s="109"/>
      <c r="C318" s="109"/>
      <c r="D318" s="109"/>
      <c r="E318" s="109"/>
      <c r="F318" s="109"/>
      <c r="G318" s="109"/>
      <c r="H318" s="109"/>
      <c r="I318" s="109"/>
      <c r="J318" s="109"/>
      <c r="K318" s="109"/>
      <c r="L318" s="109"/>
      <c r="M318" s="109"/>
      <c r="N318" s="109"/>
      <c r="O318" s="109"/>
      <c r="P318" s="109"/>
      <c r="Q318" s="109"/>
      <c r="R318" s="109"/>
    </row>
    <row r="319" spans="1:18" x14ac:dyDescent="0.35">
      <c r="A319" s="109"/>
      <c r="B319" s="109"/>
      <c r="C319" s="109"/>
      <c r="D319" s="109"/>
      <c r="E319" s="109"/>
      <c r="F319" s="109"/>
      <c r="G319" s="109"/>
      <c r="H319" s="109"/>
      <c r="I319" s="109"/>
      <c r="J319" s="109"/>
      <c r="K319" s="109"/>
      <c r="L319" s="109"/>
      <c r="M319" s="109"/>
      <c r="N319" s="109"/>
      <c r="O319" s="109"/>
      <c r="P319" s="109"/>
      <c r="Q319" s="109"/>
      <c r="R319" s="109"/>
    </row>
    <row r="320" spans="1:18" x14ac:dyDescent="0.35">
      <c r="A320" s="80" t="s">
        <v>116</v>
      </c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</row>
    <row r="321" spans="1:18" x14ac:dyDescent="0.35">
      <c r="A321" s="80" t="s">
        <v>93</v>
      </c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</row>
    <row r="322" spans="1:18" x14ac:dyDescent="0.35">
      <c r="A322" s="81" t="s">
        <v>252</v>
      </c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</row>
    <row r="323" spans="1:18" x14ac:dyDescent="0.35">
      <c r="A323" s="83" t="s">
        <v>8</v>
      </c>
      <c r="B323" s="83"/>
      <c r="C323" s="26" t="s">
        <v>157</v>
      </c>
      <c r="D323" s="26"/>
      <c r="E323" s="26" t="s">
        <v>162</v>
      </c>
      <c r="F323" s="26"/>
      <c r="G323" s="26" t="s">
        <v>191</v>
      </c>
      <c r="H323" s="26"/>
      <c r="I323" s="26" t="s">
        <v>159</v>
      </c>
      <c r="J323" s="26"/>
      <c r="K323" s="26" t="s">
        <v>160</v>
      </c>
      <c r="L323" s="26"/>
      <c r="M323" s="26" t="s">
        <v>163</v>
      </c>
      <c r="N323" s="26"/>
      <c r="O323" s="26" t="s">
        <v>158</v>
      </c>
      <c r="P323" s="26"/>
      <c r="Q323" s="26" t="s">
        <v>164</v>
      </c>
      <c r="R323" s="26"/>
    </row>
    <row r="324" spans="1:18" x14ac:dyDescent="0.35">
      <c r="A324" s="106" t="s">
        <v>10</v>
      </c>
      <c r="B324" s="106"/>
      <c r="C324" s="107" t="s">
        <v>165</v>
      </c>
      <c r="D324" s="59"/>
      <c r="E324" s="85">
        <v>3000</v>
      </c>
      <c r="F324" s="59"/>
      <c r="G324" s="59">
        <v>1</v>
      </c>
      <c r="H324" s="59"/>
      <c r="I324" s="59">
        <v>10</v>
      </c>
      <c r="J324" s="59"/>
      <c r="K324" s="62">
        <f>((E324/30)/24)*I324</f>
        <v>41.666666666666671</v>
      </c>
      <c r="L324" s="59"/>
      <c r="M324" s="59">
        <v>2</v>
      </c>
      <c r="N324" s="59"/>
      <c r="O324" s="62">
        <f>(E324*M324*G324)+K324</f>
        <v>6041.666666666667</v>
      </c>
      <c r="P324" s="59"/>
      <c r="Q324" s="89">
        <f>(O324)/114000</f>
        <v>5.2997076023391813E-2</v>
      </c>
      <c r="R324" s="89"/>
    </row>
    <row r="325" spans="1:18" x14ac:dyDescent="0.35">
      <c r="A325" s="106"/>
      <c r="B325" s="106"/>
      <c r="C325" s="56" t="s">
        <v>206</v>
      </c>
      <c r="D325" s="61"/>
      <c r="E325" s="88">
        <v>1200</v>
      </c>
      <c r="F325" s="61"/>
      <c r="G325" s="61">
        <v>2</v>
      </c>
      <c r="H325" s="61"/>
      <c r="I325" s="61">
        <v>12</v>
      </c>
      <c r="J325" s="61"/>
      <c r="K325" s="62">
        <f t="shared" ref="K325:K330" si="40">((E325/30)/24)*I325</f>
        <v>20</v>
      </c>
      <c r="L325" s="59"/>
      <c r="M325" s="61">
        <v>2</v>
      </c>
      <c r="N325" s="61"/>
      <c r="O325" s="62">
        <f t="shared" ref="O325:O330" si="41">(E325*M325*G325)+K325</f>
        <v>4820</v>
      </c>
      <c r="P325" s="59"/>
      <c r="Q325" s="89">
        <f t="shared" ref="Q325:Q330" si="42">(O325)/114000</f>
        <v>4.2280701754385967E-2</v>
      </c>
      <c r="R325" s="89"/>
    </row>
    <row r="326" spans="1:18" x14ac:dyDescent="0.35">
      <c r="A326" s="106"/>
      <c r="B326" s="106"/>
      <c r="C326" s="56" t="s">
        <v>207</v>
      </c>
      <c r="D326" s="61"/>
      <c r="E326" s="88">
        <v>1600</v>
      </c>
      <c r="F326" s="61"/>
      <c r="G326" s="61">
        <v>1</v>
      </c>
      <c r="H326" s="61"/>
      <c r="I326" s="61">
        <v>10</v>
      </c>
      <c r="J326" s="61"/>
      <c r="K326" s="62">
        <f t="shared" si="40"/>
        <v>22.222222222222221</v>
      </c>
      <c r="L326" s="59"/>
      <c r="M326" s="61">
        <v>2</v>
      </c>
      <c r="N326" s="61"/>
      <c r="O326" s="62">
        <f t="shared" si="41"/>
        <v>3222.2222222222222</v>
      </c>
      <c r="P326" s="59"/>
      <c r="Q326" s="89">
        <f t="shared" si="42"/>
        <v>2.8265107212475632E-2</v>
      </c>
      <c r="R326" s="89"/>
    </row>
    <row r="327" spans="1:18" x14ac:dyDescent="0.35">
      <c r="A327" s="106"/>
      <c r="B327" s="106"/>
      <c r="C327" s="56" t="s">
        <v>168</v>
      </c>
      <c r="D327" s="61"/>
      <c r="E327" s="88">
        <v>500</v>
      </c>
      <c r="F327" s="61"/>
      <c r="G327" s="61">
        <v>1</v>
      </c>
      <c r="H327" s="61"/>
      <c r="I327" s="61">
        <v>0</v>
      </c>
      <c r="J327" s="61"/>
      <c r="K327" s="62">
        <f t="shared" si="40"/>
        <v>0</v>
      </c>
      <c r="L327" s="59"/>
      <c r="M327" s="61">
        <v>2</v>
      </c>
      <c r="N327" s="61"/>
      <c r="O327" s="62">
        <f t="shared" si="41"/>
        <v>1000</v>
      </c>
      <c r="P327" s="59"/>
      <c r="Q327" s="89">
        <f t="shared" si="42"/>
        <v>8.771929824561403E-3</v>
      </c>
      <c r="R327" s="89"/>
    </row>
    <row r="328" spans="1:18" x14ac:dyDescent="0.35">
      <c r="A328" s="106"/>
      <c r="B328" s="106"/>
      <c r="C328" s="56" t="s">
        <v>169</v>
      </c>
      <c r="D328" s="61"/>
      <c r="E328" s="88">
        <v>400</v>
      </c>
      <c r="F328" s="61"/>
      <c r="G328" s="61">
        <v>1</v>
      </c>
      <c r="H328" s="61"/>
      <c r="I328" s="61">
        <v>0</v>
      </c>
      <c r="J328" s="61"/>
      <c r="K328" s="62">
        <f t="shared" si="40"/>
        <v>0</v>
      </c>
      <c r="L328" s="59"/>
      <c r="M328" s="61">
        <v>2</v>
      </c>
      <c r="N328" s="61"/>
      <c r="O328" s="62">
        <f t="shared" si="41"/>
        <v>800</v>
      </c>
      <c r="P328" s="59"/>
      <c r="Q328" s="89">
        <f t="shared" si="42"/>
        <v>7.0175438596491229E-3</v>
      </c>
      <c r="R328" s="89"/>
    </row>
    <row r="329" spans="1:18" x14ac:dyDescent="0.35">
      <c r="A329" s="106"/>
      <c r="B329" s="106"/>
      <c r="C329" s="56" t="s">
        <v>188</v>
      </c>
      <c r="D329" s="61"/>
      <c r="E329" s="88">
        <v>800</v>
      </c>
      <c r="F329" s="61"/>
      <c r="G329" s="61">
        <v>1</v>
      </c>
      <c r="H329" s="61"/>
      <c r="I329" s="61">
        <v>0</v>
      </c>
      <c r="J329" s="61"/>
      <c r="K329" s="62">
        <f t="shared" si="40"/>
        <v>0</v>
      </c>
      <c r="L329" s="59"/>
      <c r="M329" s="61">
        <v>2</v>
      </c>
      <c r="N329" s="61"/>
      <c r="O329" s="62">
        <f t="shared" si="41"/>
        <v>1600</v>
      </c>
      <c r="P329" s="59"/>
      <c r="Q329" s="89">
        <f t="shared" si="42"/>
        <v>1.4035087719298246E-2</v>
      </c>
      <c r="R329" s="89"/>
    </row>
    <row r="330" spans="1:18" x14ac:dyDescent="0.35">
      <c r="A330" s="106"/>
      <c r="B330" s="106"/>
      <c r="C330" s="56" t="s">
        <v>167</v>
      </c>
      <c r="D330" s="61"/>
      <c r="E330" s="88">
        <v>600</v>
      </c>
      <c r="F330" s="61"/>
      <c r="G330" s="61">
        <v>1</v>
      </c>
      <c r="H330" s="61"/>
      <c r="I330" s="61">
        <v>0</v>
      </c>
      <c r="J330" s="61"/>
      <c r="K330" s="62">
        <f t="shared" si="40"/>
        <v>0</v>
      </c>
      <c r="L330" s="59"/>
      <c r="M330" s="61">
        <v>2</v>
      </c>
      <c r="N330" s="61"/>
      <c r="O330" s="62">
        <f t="shared" si="41"/>
        <v>1200</v>
      </c>
      <c r="P330" s="59"/>
      <c r="Q330" s="89">
        <f t="shared" si="42"/>
        <v>1.0526315789473684E-2</v>
      </c>
      <c r="R330" s="89"/>
    </row>
    <row r="331" spans="1:18" x14ac:dyDescent="0.35">
      <c r="A331" s="106"/>
      <c r="B331" s="106"/>
      <c r="C331" s="58" t="s">
        <v>2</v>
      </c>
      <c r="D331" s="58"/>
      <c r="E331" s="57">
        <f>SUM(E324:F330)</f>
        <v>8100</v>
      </c>
      <c r="F331" s="58"/>
      <c r="G331" s="58">
        <f>SUM(G324:H330)</f>
        <v>8</v>
      </c>
      <c r="H331" s="58"/>
      <c r="I331" s="58">
        <f>SUM(I324:J330)</f>
        <v>32</v>
      </c>
      <c r="J331" s="58"/>
      <c r="K331" s="99">
        <f>SUM(K324:L330)</f>
        <v>83.888888888888886</v>
      </c>
      <c r="L331" s="58"/>
      <c r="M331" s="58"/>
      <c r="N331" s="58"/>
      <c r="O331" s="99">
        <f>SUM(O324:P330)</f>
        <v>18683.888888888891</v>
      </c>
      <c r="P331" s="58"/>
      <c r="Q331" s="63">
        <f>SUM(Q324:R330)</f>
        <v>0.16389376218323587</v>
      </c>
      <c r="R331" s="58"/>
    </row>
    <row r="332" spans="1:18" x14ac:dyDescent="0.35">
      <c r="A332" s="103" t="s">
        <v>190</v>
      </c>
      <c r="B332" s="104"/>
      <c r="C332" s="50" t="s">
        <v>4</v>
      </c>
      <c r="D332" s="50"/>
      <c r="E332" s="50"/>
      <c r="F332" s="50" t="s">
        <v>171</v>
      </c>
      <c r="G332" s="50"/>
      <c r="H332" s="50"/>
      <c r="I332" s="50"/>
      <c r="J332" s="11" t="s">
        <v>171</v>
      </c>
      <c r="K332" s="11" t="s">
        <v>173</v>
      </c>
      <c r="L332" s="11" t="s">
        <v>174</v>
      </c>
      <c r="M332" s="36" t="s">
        <v>175</v>
      </c>
      <c r="N332" s="36"/>
      <c r="O332" s="36" t="s">
        <v>172</v>
      </c>
      <c r="P332" s="36"/>
      <c r="Q332" s="36" t="s">
        <v>161</v>
      </c>
      <c r="R332" s="36"/>
    </row>
    <row r="333" spans="1:18" x14ac:dyDescent="0.35">
      <c r="A333" s="105"/>
      <c r="B333" s="105"/>
      <c r="C333" s="76" t="s">
        <v>325</v>
      </c>
      <c r="D333" s="52"/>
      <c r="E333" s="53"/>
      <c r="F333" s="76" t="s">
        <v>373</v>
      </c>
      <c r="G333" s="52"/>
      <c r="H333" s="52"/>
      <c r="I333" s="52"/>
      <c r="J333" s="12"/>
      <c r="K333" s="2"/>
      <c r="L333" s="2"/>
      <c r="M333" s="61"/>
      <c r="N333" s="61"/>
      <c r="O333" s="61"/>
      <c r="P333" s="61"/>
      <c r="Q333" s="61"/>
      <c r="R333" s="61"/>
    </row>
    <row r="334" spans="1:18" x14ac:dyDescent="0.35">
      <c r="A334" s="105"/>
      <c r="B334" s="105"/>
      <c r="C334" s="60" t="s">
        <v>326</v>
      </c>
      <c r="D334" s="55"/>
      <c r="E334" s="56"/>
      <c r="F334" s="60" t="s">
        <v>372</v>
      </c>
      <c r="G334" s="55"/>
      <c r="H334" s="55"/>
      <c r="I334" s="55"/>
      <c r="J334" s="2"/>
      <c r="K334" s="2"/>
      <c r="L334" s="2"/>
      <c r="M334" s="61"/>
      <c r="N334" s="61"/>
      <c r="O334" s="61"/>
      <c r="P334" s="61"/>
      <c r="Q334" s="61"/>
      <c r="R334" s="61"/>
    </row>
    <row r="335" spans="1:18" x14ac:dyDescent="0.35">
      <c r="A335" s="105"/>
      <c r="B335" s="105"/>
      <c r="C335" s="60" t="s">
        <v>327</v>
      </c>
      <c r="D335" s="55"/>
      <c r="E335" s="56"/>
      <c r="F335" s="60" t="s">
        <v>402</v>
      </c>
      <c r="G335" s="55"/>
      <c r="H335" s="55"/>
      <c r="I335" s="55"/>
      <c r="J335" s="2"/>
      <c r="K335" s="2"/>
      <c r="L335" s="2"/>
      <c r="M335" s="61"/>
      <c r="N335" s="61"/>
      <c r="O335" s="61"/>
      <c r="P335" s="61"/>
      <c r="Q335" s="61"/>
      <c r="R335" s="61"/>
    </row>
    <row r="336" spans="1:18" x14ac:dyDescent="0.35">
      <c r="A336" s="105"/>
      <c r="B336" s="105"/>
      <c r="C336" s="60" t="s">
        <v>328</v>
      </c>
      <c r="D336" s="55"/>
      <c r="E336" s="56"/>
      <c r="F336" s="60" t="s">
        <v>403</v>
      </c>
      <c r="G336" s="55"/>
      <c r="H336" s="55"/>
      <c r="I336" s="55"/>
      <c r="J336" s="2"/>
      <c r="K336" s="2"/>
      <c r="L336" s="2"/>
      <c r="M336" s="61"/>
      <c r="N336" s="61"/>
      <c r="O336" s="61"/>
      <c r="P336" s="61"/>
      <c r="Q336" s="61"/>
      <c r="R336" s="61"/>
    </row>
    <row r="337" spans="1:18" x14ac:dyDescent="0.35">
      <c r="A337" s="105"/>
      <c r="B337" s="105"/>
      <c r="C337" s="60" t="s">
        <v>329</v>
      </c>
      <c r="D337" s="55"/>
      <c r="E337" s="56"/>
      <c r="F337" s="60" t="s">
        <v>371</v>
      </c>
      <c r="G337" s="55"/>
      <c r="H337" s="55"/>
      <c r="I337" s="55"/>
      <c r="J337" s="2"/>
      <c r="K337" s="2"/>
      <c r="L337" s="2"/>
      <c r="M337" s="61"/>
      <c r="N337" s="61"/>
      <c r="O337" s="61"/>
      <c r="P337" s="61"/>
      <c r="Q337" s="61"/>
      <c r="R337" s="61"/>
    </row>
    <row r="338" spans="1:18" x14ac:dyDescent="0.35">
      <c r="A338" s="105"/>
      <c r="B338" s="105"/>
      <c r="C338" s="60"/>
      <c r="D338" s="55"/>
      <c r="E338" s="56"/>
      <c r="F338" s="60"/>
      <c r="G338" s="55"/>
      <c r="H338" s="55"/>
      <c r="I338" s="55"/>
      <c r="J338" s="2"/>
      <c r="K338" s="2"/>
      <c r="L338" s="2"/>
      <c r="M338" s="61"/>
      <c r="N338" s="61"/>
      <c r="O338" s="61"/>
      <c r="P338" s="61"/>
      <c r="Q338" s="61"/>
      <c r="R338" s="61"/>
    </row>
    <row r="339" spans="1:18" x14ac:dyDescent="0.35">
      <c r="A339" s="105"/>
      <c r="B339" s="105"/>
      <c r="C339" s="77"/>
      <c r="D339" s="119"/>
      <c r="E339" s="78"/>
      <c r="F339" s="77"/>
      <c r="G339" s="119"/>
      <c r="H339" s="119"/>
      <c r="I339" s="119"/>
      <c r="J339" s="13"/>
      <c r="K339" s="2"/>
      <c r="L339" s="2"/>
      <c r="M339" s="61"/>
      <c r="N339" s="61"/>
      <c r="O339" s="61"/>
      <c r="P339" s="61"/>
      <c r="Q339" s="61"/>
      <c r="R339" s="61"/>
    </row>
    <row r="340" spans="1:18" x14ac:dyDescent="0.35">
      <c r="A340" s="105"/>
      <c r="B340" s="105"/>
      <c r="C340" s="58" t="s">
        <v>2</v>
      </c>
      <c r="D340" s="58"/>
      <c r="E340" s="58"/>
      <c r="F340" s="58"/>
      <c r="G340" s="58"/>
      <c r="H340" s="58"/>
      <c r="I340" s="58"/>
      <c r="J340" s="6"/>
      <c r="K340" s="6"/>
      <c r="L340" s="6"/>
      <c r="M340" s="58"/>
      <c r="N340" s="58"/>
      <c r="O340" s="58"/>
      <c r="P340" s="58"/>
      <c r="Q340" s="58"/>
      <c r="R340" s="58"/>
    </row>
    <row r="341" spans="1:18" x14ac:dyDescent="0.35">
      <c r="A341" s="102" t="s">
        <v>176</v>
      </c>
      <c r="B341" s="102"/>
      <c r="C341" s="50" t="s">
        <v>170</v>
      </c>
      <c r="D341" s="50"/>
      <c r="E341" s="50"/>
      <c r="F341" s="50" t="s">
        <v>177</v>
      </c>
      <c r="G341" s="50"/>
      <c r="H341" s="50"/>
      <c r="I341" s="50"/>
      <c r="J341" s="50"/>
      <c r="K341" s="26" t="s">
        <v>178</v>
      </c>
      <c r="L341" s="26"/>
      <c r="M341" s="36" t="s">
        <v>173</v>
      </c>
      <c r="N341" s="36"/>
      <c r="O341" s="36" t="s">
        <v>174</v>
      </c>
      <c r="P341" s="36"/>
      <c r="Q341" s="26" t="s">
        <v>161</v>
      </c>
      <c r="R341" s="26"/>
    </row>
    <row r="342" spans="1:18" x14ac:dyDescent="0.35">
      <c r="A342" s="102"/>
      <c r="B342" s="102"/>
      <c r="C342" s="76" t="s">
        <v>318</v>
      </c>
      <c r="D342" s="52"/>
      <c r="E342" s="53"/>
      <c r="F342" s="76" t="s">
        <v>370</v>
      </c>
      <c r="G342" s="52"/>
      <c r="H342" s="52"/>
      <c r="I342" s="52"/>
      <c r="J342" s="53"/>
      <c r="K342" s="59"/>
      <c r="L342" s="59"/>
      <c r="M342" s="59"/>
      <c r="N342" s="59"/>
      <c r="O342" s="59"/>
      <c r="P342" s="59"/>
      <c r="Q342" s="59"/>
      <c r="R342" s="59"/>
    </row>
    <row r="343" spans="1:18" x14ac:dyDescent="0.35">
      <c r="A343" s="102"/>
      <c r="B343" s="102"/>
      <c r="C343" s="60" t="s">
        <v>319</v>
      </c>
      <c r="D343" s="55"/>
      <c r="E343" s="56"/>
      <c r="F343" s="60" t="s">
        <v>369</v>
      </c>
      <c r="G343" s="55"/>
      <c r="H343" s="55"/>
      <c r="I343" s="55"/>
      <c r="J343" s="56"/>
      <c r="K343" s="61"/>
      <c r="L343" s="61"/>
      <c r="M343" s="61"/>
      <c r="N343" s="61"/>
      <c r="O343" s="61"/>
      <c r="P343" s="61"/>
      <c r="Q343" s="61"/>
      <c r="R343" s="61"/>
    </row>
    <row r="344" spans="1:18" x14ac:dyDescent="0.35">
      <c r="A344" s="102"/>
      <c r="B344" s="102"/>
      <c r="C344" s="60" t="s">
        <v>320</v>
      </c>
      <c r="D344" s="55"/>
      <c r="E344" s="56"/>
      <c r="F344" s="60" t="s">
        <v>368</v>
      </c>
      <c r="G344" s="55"/>
      <c r="H344" s="55"/>
      <c r="I344" s="55"/>
      <c r="J344" s="56"/>
      <c r="K344" s="61"/>
      <c r="L344" s="61"/>
      <c r="M344" s="61"/>
      <c r="N344" s="61"/>
      <c r="O344" s="61"/>
      <c r="P344" s="61"/>
      <c r="Q344" s="61"/>
      <c r="R344" s="61"/>
    </row>
    <row r="345" spans="1:18" x14ac:dyDescent="0.35">
      <c r="A345" s="102"/>
      <c r="B345" s="102"/>
      <c r="C345" s="60" t="s">
        <v>321</v>
      </c>
      <c r="D345" s="55"/>
      <c r="E345" s="56"/>
      <c r="F345" s="60" t="s">
        <v>367</v>
      </c>
      <c r="G345" s="55"/>
      <c r="H345" s="55"/>
      <c r="I345" s="55"/>
      <c r="J345" s="56"/>
      <c r="K345" s="61"/>
      <c r="L345" s="61"/>
      <c r="M345" s="61"/>
      <c r="N345" s="61"/>
      <c r="O345" s="61"/>
      <c r="P345" s="61"/>
      <c r="Q345" s="61"/>
      <c r="R345" s="61"/>
    </row>
    <row r="346" spans="1:18" x14ac:dyDescent="0.35">
      <c r="A346" s="102"/>
      <c r="B346" s="102"/>
      <c r="C346" s="60" t="s">
        <v>322</v>
      </c>
      <c r="D346" s="55"/>
      <c r="E346" s="56"/>
      <c r="F346" s="60"/>
      <c r="G346" s="55"/>
      <c r="H346" s="55"/>
      <c r="I346" s="55"/>
      <c r="J346" s="56"/>
      <c r="K346" s="61"/>
      <c r="L346" s="61"/>
      <c r="M346" s="61"/>
      <c r="N346" s="61"/>
      <c r="O346" s="61"/>
      <c r="P346" s="61"/>
      <c r="Q346" s="61"/>
      <c r="R346" s="61"/>
    </row>
    <row r="347" spans="1:18" x14ac:dyDescent="0.35">
      <c r="A347" s="102"/>
      <c r="B347" s="102"/>
      <c r="C347" s="60" t="s">
        <v>323</v>
      </c>
      <c r="D347" s="55"/>
      <c r="E347" s="56"/>
      <c r="F347" s="60"/>
      <c r="G347" s="55"/>
      <c r="H347" s="55"/>
      <c r="I347" s="55"/>
      <c r="J347" s="56"/>
      <c r="K347" s="61"/>
      <c r="L347" s="61"/>
      <c r="M347" s="61"/>
      <c r="N347" s="61"/>
      <c r="O347" s="61"/>
      <c r="P347" s="61"/>
      <c r="Q347" s="61"/>
      <c r="R347" s="61"/>
    </row>
    <row r="348" spans="1:18" x14ac:dyDescent="0.35">
      <c r="A348" s="102"/>
      <c r="B348" s="102"/>
      <c r="C348" s="77" t="s">
        <v>324</v>
      </c>
      <c r="D348" s="119"/>
      <c r="E348" s="78"/>
      <c r="F348" s="77"/>
      <c r="G348" s="119"/>
      <c r="H348" s="119"/>
      <c r="I348" s="119"/>
      <c r="J348" s="78"/>
      <c r="K348" s="61"/>
      <c r="L348" s="61"/>
      <c r="M348" s="61"/>
      <c r="N348" s="61"/>
      <c r="O348" s="61"/>
      <c r="P348" s="61"/>
      <c r="Q348" s="61"/>
      <c r="R348" s="61"/>
    </row>
    <row r="349" spans="1:18" x14ac:dyDescent="0.35">
      <c r="A349" s="102"/>
      <c r="B349" s="102"/>
      <c r="C349" s="58" t="s">
        <v>2</v>
      </c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</row>
    <row r="350" spans="1:18" x14ac:dyDescent="0.35">
      <c r="A350" s="100" t="s">
        <v>179</v>
      </c>
      <c r="B350" s="101"/>
      <c r="C350" s="26" t="s">
        <v>4</v>
      </c>
      <c r="D350" s="26"/>
      <c r="E350" s="26" t="s">
        <v>6</v>
      </c>
      <c r="F350" s="26"/>
      <c r="G350" s="26"/>
      <c r="H350" s="26"/>
      <c r="I350" s="26" t="s">
        <v>180</v>
      </c>
      <c r="J350" s="26"/>
      <c r="K350" s="26" t="s">
        <v>163</v>
      </c>
      <c r="L350" s="26"/>
      <c r="M350" s="36" t="s">
        <v>173</v>
      </c>
      <c r="N350" s="36"/>
      <c r="O350" s="36" t="s">
        <v>174</v>
      </c>
      <c r="P350" s="36"/>
      <c r="Q350" s="26" t="s">
        <v>161</v>
      </c>
      <c r="R350" s="26"/>
    </row>
    <row r="351" spans="1:18" x14ac:dyDescent="0.35">
      <c r="A351" s="101"/>
      <c r="B351" s="101"/>
      <c r="C351" s="59" t="s">
        <v>181</v>
      </c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76"/>
      <c r="R351" s="53"/>
    </row>
    <row r="352" spans="1:18" x14ac:dyDescent="0.35">
      <c r="A352" s="101"/>
      <c r="B352" s="101"/>
      <c r="C352" s="61" t="s">
        <v>182</v>
      </c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0"/>
      <c r="R352" s="56"/>
    </row>
    <row r="353" spans="1:18" x14ac:dyDescent="0.35">
      <c r="A353" s="101"/>
      <c r="B353" s="101"/>
      <c r="C353" s="61" t="s">
        <v>183</v>
      </c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0"/>
      <c r="R353" s="56"/>
    </row>
    <row r="354" spans="1:18" x14ac:dyDescent="0.35">
      <c r="A354" s="101"/>
      <c r="B354" s="101"/>
      <c r="C354" s="61" t="s">
        <v>184</v>
      </c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0"/>
      <c r="R354" s="56"/>
    </row>
    <row r="355" spans="1:18" x14ac:dyDescent="0.35">
      <c r="A355" s="101"/>
      <c r="B355" s="101"/>
      <c r="C355" s="61" t="s">
        <v>185</v>
      </c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0"/>
      <c r="R355" s="56"/>
    </row>
    <row r="356" spans="1:18" x14ac:dyDescent="0.35">
      <c r="A356" s="101"/>
      <c r="B356" s="101"/>
      <c r="C356" s="61" t="s">
        <v>186</v>
      </c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0"/>
      <c r="R356" s="56"/>
    </row>
    <row r="357" spans="1:18" x14ac:dyDescent="0.35">
      <c r="A357" s="101"/>
      <c r="B357" s="101"/>
      <c r="C357" s="61" t="s">
        <v>189</v>
      </c>
      <c r="D357" s="61"/>
      <c r="E357" s="60"/>
      <c r="F357" s="55"/>
      <c r="G357" s="55"/>
      <c r="H357" s="56"/>
      <c r="I357" s="60"/>
      <c r="J357" s="56"/>
      <c r="K357" s="60"/>
      <c r="L357" s="56"/>
      <c r="M357" s="60"/>
      <c r="N357" s="56"/>
      <c r="O357" s="60"/>
      <c r="P357" s="56"/>
      <c r="Q357" s="60"/>
      <c r="R357" s="56"/>
    </row>
    <row r="358" spans="1:18" x14ac:dyDescent="0.35">
      <c r="A358" s="101"/>
      <c r="B358" s="101"/>
      <c r="C358" s="61" t="s">
        <v>187</v>
      </c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0"/>
      <c r="R358" s="56"/>
    </row>
    <row r="359" spans="1:18" x14ac:dyDescent="0.35">
      <c r="A359" s="5"/>
      <c r="B359" s="5"/>
      <c r="C359" s="58" t="s">
        <v>2</v>
      </c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</row>
    <row r="360" spans="1:18" x14ac:dyDescent="0.35">
      <c r="A360" s="94" t="s">
        <v>192</v>
      </c>
      <c r="B360" s="95"/>
      <c r="C360" s="50" t="s">
        <v>4</v>
      </c>
      <c r="D360" s="50"/>
      <c r="E360" s="50"/>
      <c r="F360" s="50" t="s">
        <v>6</v>
      </c>
      <c r="G360" s="50"/>
      <c r="H360" s="50"/>
      <c r="I360" s="50"/>
      <c r="J360" s="9" t="s">
        <v>171</v>
      </c>
      <c r="K360" s="26" t="s">
        <v>193</v>
      </c>
      <c r="L360" s="26"/>
      <c r="M360" s="26" t="s">
        <v>194</v>
      </c>
      <c r="N360" s="26"/>
      <c r="O360" s="26" t="s">
        <v>174</v>
      </c>
      <c r="P360" s="26"/>
      <c r="Q360" s="26" t="s">
        <v>161</v>
      </c>
      <c r="R360" s="26"/>
    </row>
    <row r="361" spans="1:18" x14ac:dyDescent="0.35">
      <c r="A361" s="95"/>
      <c r="B361" s="95"/>
      <c r="C361" s="76" t="s">
        <v>315</v>
      </c>
      <c r="D361" s="52"/>
      <c r="E361" s="53"/>
      <c r="F361" s="76"/>
      <c r="G361" s="52"/>
      <c r="H361" s="52"/>
      <c r="I361" s="53"/>
      <c r="J361" s="10"/>
      <c r="K361" s="59"/>
      <c r="L361" s="59"/>
      <c r="M361" s="59"/>
      <c r="N361" s="59"/>
      <c r="O361" s="59"/>
      <c r="P361" s="59"/>
      <c r="Q361" s="59"/>
      <c r="R361" s="59"/>
    </row>
    <row r="362" spans="1:18" x14ac:dyDescent="0.35">
      <c r="A362" s="95"/>
      <c r="B362" s="95"/>
      <c r="C362" s="60" t="s">
        <v>225</v>
      </c>
      <c r="D362" s="55"/>
      <c r="E362" s="56"/>
      <c r="F362" s="60" t="s">
        <v>316</v>
      </c>
      <c r="G362" s="55"/>
      <c r="H362" s="55"/>
      <c r="I362" s="56"/>
      <c r="J362" s="2"/>
      <c r="K362" s="61"/>
      <c r="L362" s="61"/>
      <c r="M362" s="61"/>
      <c r="N362" s="61"/>
      <c r="O362" s="61"/>
      <c r="P362" s="61"/>
      <c r="Q362" s="61"/>
      <c r="R362" s="61"/>
    </row>
    <row r="363" spans="1:18" x14ac:dyDescent="0.35">
      <c r="A363" s="95"/>
      <c r="B363" s="95"/>
      <c r="C363" s="60" t="s">
        <v>317</v>
      </c>
      <c r="D363" s="55"/>
      <c r="E363" s="56"/>
      <c r="F363" s="60"/>
      <c r="G363" s="55"/>
      <c r="H363" s="55"/>
      <c r="I363" s="56"/>
      <c r="J363" s="2"/>
      <c r="K363" s="61"/>
      <c r="L363" s="61"/>
      <c r="M363" s="61"/>
      <c r="N363" s="61"/>
      <c r="O363" s="61"/>
      <c r="P363" s="61"/>
      <c r="Q363" s="61"/>
      <c r="R363" s="61"/>
    </row>
    <row r="364" spans="1:18" x14ac:dyDescent="0.35">
      <c r="A364" s="95"/>
      <c r="B364" s="95"/>
      <c r="C364" s="60" t="s">
        <v>365</v>
      </c>
      <c r="D364" s="55"/>
      <c r="E364" s="56"/>
      <c r="F364" s="60" t="s">
        <v>366</v>
      </c>
      <c r="G364" s="55"/>
      <c r="H364" s="55"/>
      <c r="I364" s="56"/>
      <c r="J364" s="2"/>
      <c r="K364" s="61"/>
      <c r="L364" s="61"/>
      <c r="M364" s="61"/>
      <c r="N364" s="61"/>
      <c r="O364" s="61"/>
      <c r="P364" s="61"/>
      <c r="Q364" s="61"/>
      <c r="R364" s="61"/>
    </row>
    <row r="365" spans="1:18" x14ac:dyDescent="0.35">
      <c r="A365" s="95"/>
      <c r="B365" s="95"/>
      <c r="C365" s="60"/>
      <c r="D365" s="55"/>
      <c r="E365" s="56"/>
      <c r="F365" s="60"/>
      <c r="G365" s="55"/>
      <c r="H365" s="55"/>
      <c r="I365" s="56"/>
      <c r="J365" s="2"/>
      <c r="K365" s="61"/>
      <c r="L365" s="61"/>
      <c r="M365" s="61"/>
      <c r="N365" s="61"/>
      <c r="O365" s="61"/>
      <c r="P365" s="61"/>
      <c r="Q365" s="61"/>
      <c r="R365" s="61"/>
    </row>
    <row r="366" spans="1:18" x14ac:dyDescent="0.35">
      <c r="A366" s="95"/>
      <c r="B366" s="95"/>
      <c r="C366" s="60"/>
      <c r="D366" s="55"/>
      <c r="E366" s="56"/>
      <c r="F366" s="60"/>
      <c r="G366" s="55"/>
      <c r="H366" s="55"/>
      <c r="I366" s="56"/>
      <c r="J366" s="2"/>
      <c r="K366" s="61"/>
      <c r="L366" s="61"/>
      <c r="M366" s="61"/>
      <c r="N366" s="61"/>
      <c r="O366" s="61"/>
      <c r="P366" s="61"/>
      <c r="Q366" s="61"/>
      <c r="R366" s="61"/>
    </row>
    <row r="367" spans="1:18" x14ac:dyDescent="0.35">
      <c r="A367" s="95"/>
      <c r="B367" s="95"/>
      <c r="C367" s="60"/>
      <c r="D367" s="55"/>
      <c r="E367" s="56"/>
      <c r="F367" s="60"/>
      <c r="G367" s="55"/>
      <c r="H367" s="55"/>
      <c r="I367" s="56"/>
      <c r="J367" s="2"/>
      <c r="K367" s="61"/>
      <c r="L367" s="61"/>
      <c r="M367" s="61"/>
      <c r="N367" s="61"/>
      <c r="O367" s="61"/>
      <c r="P367" s="61"/>
      <c r="Q367" s="61"/>
      <c r="R367" s="61"/>
    </row>
    <row r="368" spans="1:18" x14ac:dyDescent="0.35">
      <c r="A368" s="95"/>
      <c r="B368" s="95"/>
      <c r="C368" s="77"/>
      <c r="D368" s="119"/>
      <c r="E368" s="78"/>
      <c r="F368" s="77"/>
      <c r="G368" s="119"/>
      <c r="H368" s="119"/>
      <c r="I368" s="78"/>
      <c r="J368" s="2"/>
      <c r="K368" s="61"/>
      <c r="L368" s="61"/>
      <c r="M368" s="61"/>
      <c r="N368" s="61"/>
      <c r="O368" s="61"/>
      <c r="P368" s="61"/>
      <c r="Q368" s="61"/>
      <c r="R368" s="61"/>
    </row>
    <row r="369" spans="1:18" x14ac:dyDescent="0.35">
      <c r="A369" s="95"/>
      <c r="B369" s="95"/>
      <c r="C369" s="58" t="s">
        <v>2</v>
      </c>
      <c r="D369" s="58"/>
      <c r="E369" s="58"/>
      <c r="F369" s="58"/>
      <c r="G369" s="58"/>
      <c r="H369" s="58"/>
      <c r="I369" s="58"/>
      <c r="J369" s="6"/>
      <c r="K369" s="58"/>
      <c r="L369" s="58"/>
      <c r="M369" s="58"/>
      <c r="N369" s="58"/>
      <c r="O369" s="58"/>
      <c r="P369" s="58"/>
      <c r="Q369" s="58"/>
      <c r="R369" s="58"/>
    </row>
    <row r="370" spans="1:18" x14ac:dyDescent="0.35">
      <c r="A370" s="93" t="s">
        <v>42</v>
      </c>
      <c r="B370" s="93"/>
      <c r="C370" s="26" t="s">
        <v>195</v>
      </c>
      <c r="D370" s="26"/>
      <c r="E370" s="26" t="s">
        <v>6</v>
      </c>
      <c r="F370" s="26"/>
      <c r="G370" s="26"/>
      <c r="H370" s="26"/>
      <c r="I370" s="50" t="s">
        <v>194</v>
      </c>
      <c r="J370" s="50"/>
      <c r="K370" s="50"/>
      <c r="L370" s="50"/>
      <c r="M370" s="26" t="s">
        <v>174</v>
      </c>
      <c r="N370" s="26"/>
      <c r="O370" s="50" t="s">
        <v>161</v>
      </c>
      <c r="P370" s="50"/>
      <c r="Q370" s="50"/>
      <c r="R370" s="50"/>
    </row>
    <row r="371" spans="1:18" x14ac:dyDescent="0.35">
      <c r="A371" s="93"/>
      <c r="B371" s="93"/>
      <c r="C371" s="59" t="s">
        <v>196</v>
      </c>
      <c r="D371" s="59"/>
      <c r="E371" s="59"/>
      <c r="F371" s="59"/>
      <c r="G371" s="59"/>
      <c r="H371" s="59"/>
      <c r="I371" s="51">
        <v>4000</v>
      </c>
      <c r="J371" s="52"/>
      <c r="K371" s="52"/>
      <c r="L371" s="53"/>
      <c r="M371" s="85">
        <v>4000</v>
      </c>
      <c r="N371" s="59"/>
      <c r="O371" s="64">
        <f>(M371)/114000</f>
        <v>3.5087719298245612E-2</v>
      </c>
      <c r="P371" s="65"/>
      <c r="Q371" s="65"/>
      <c r="R371" s="66"/>
    </row>
    <row r="372" spans="1:18" x14ac:dyDescent="0.35">
      <c r="A372" s="93"/>
      <c r="B372" s="93"/>
      <c r="C372" s="61" t="s">
        <v>250</v>
      </c>
      <c r="D372" s="61"/>
      <c r="E372" s="61"/>
      <c r="F372" s="61"/>
      <c r="G372" s="61"/>
      <c r="H372" s="61"/>
      <c r="I372" s="54">
        <v>4000</v>
      </c>
      <c r="J372" s="55"/>
      <c r="K372" s="55"/>
      <c r="L372" s="56"/>
      <c r="M372" s="88">
        <v>4000</v>
      </c>
      <c r="N372" s="61"/>
      <c r="O372" s="67">
        <f t="shared" ref="O372:O374" si="43">(M372)/114000</f>
        <v>3.5087719298245612E-2</v>
      </c>
      <c r="P372" s="68"/>
      <c r="Q372" s="68"/>
      <c r="R372" s="69"/>
    </row>
    <row r="373" spans="1:18" x14ac:dyDescent="0.35">
      <c r="A373" s="93"/>
      <c r="B373" s="93"/>
      <c r="C373" s="61" t="s">
        <v>198</v>
      </c>
      <c r="D373" s="61"/>
      <c r="E373" s="61"/>
      <c r="F373" s="61"/>
      <c r="G373" s="61"/>
      <c r="H373" s="61"/>
      <c r="I373" s="54">
        <v>3500</v>
      </c>
      <c r="J373" s="55"/>
      <c r="K373" s="55"/>
      <c r="L373" s="56"/>
      <c r="M373" s="88">
        <v>3500</v>
      </c>
      <c r="N373" s="61"/>
      <c r="O373" s="70">
        <f t="shared" si="43"/>
        <v>3.0701754385964911E-2</v>
      </c>
      <c r="P373" s="71"/>
      <c r="Q373" s="71"/>
      <c r="R373" s="72"/>
    </row>
    <row r="374" spans="1:18" x14ac:dyDescent="0.35">
      <c r="A374" s="93"/>
      <c r="B374" s="93"/>
      <c r="C374" s="61" t="s">
        <v>199</v>
      </c>
      <c r="D374" s="61"/>
      <c r="E374" s="61"/>
      <c r="F374" s="61"/>
      <c r="G374" s="61"/>
      <c r="H374" s="61"/>
      <c r="I374" s="54">
        <v>2500</v>
      </c>
      <c r="J374" s="55"/>
      <c r="K374" s="55"/>
      <c r="L374" s="56"/>
      <c r="M374" s="88">
        <v>2500</v>
      </c>
      <c r="N374" s="61"/>
      <c r="O374" s="73">
        <f t="shared" si="43"/>
        <v>2.1929824561403508E-2</v>
      </c>
      <c r="P374" s="74"/>
      <c r="Q374" s="74"/>
      <c r="R374" s="75"/>
    </row>
    <row r="375" spans="1:18" x14ac:dyDescent="0.35">
      <c r="A375" s="93"/>
      <c r="B375" s="93"/>
      <c r="C375" s="58" t="s">
        <v>2</v>
      </c>
      <c r="D375" s="58"/>
      <c r="E375" s="58"/>
      <c r="F375" s="58"/>
      <c r="G375" s="58"/>
      <c r="H375" s="58"/>
      <c r="I375" s="57">
        <f>SUM(I371:L374)</f>
        <v>14000</v>
      </c>
      <c r="J375" s="58"/>
      <c r="K375" s="58"/>
      <c r="L375" s="58"/>
      <c r="M375" s="57">
        <f>SUM(M371:N374)</f>
        <v>14000</v>
      </c>
      <c r="N375" s="58"/>
      <c r="O375" s="63">
        <f>SUM(O371:R374)</f>
        <v>0.12280701754385964</v>
      </c>
      <c r="P375" s="58"/>
      <c r="Q375" s="58"/>
      <c r="R375" s="58"/>
    </row>
    <row r="399" spans="1:18" x14ac:dyDescent="0.35">
      <c r="A399" s="108" t="s">
        <v>125</v>
      </c>
      <c r="B399" s="109"/>
      <c r="C399" s="109"/>
      <c r="D399" s="109"/>
      <c r="E399" s="109"/>
      <c r="F399" s="109"/>
      <c r="G399" s="109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</row>
    <row r="400" spans="1:18" x14ac:dyDescent="0.35">
      <c r="A400" s="109"/>
      <c r="B400" s="109"/>
      <c r="C400" s="109"/>
      <c r="D400" s="109"/>
      <c r="E400" s="109"/>
      <c r="F400" s="109"/>
      <c r="G400" s="109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</row>
    <row r="401" spans="1:18" x14ac:dyDescent="0.35">
      <c r="A401" s="80" t="s">
        <v>126</v>
      </c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</row>
    <row r="402" spans="1:18" x14ac:dyDescent="0.35">
      <c r="A402" s="80" t="s">
        <v>127</v>
      </c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</row>
    <row r="403" spans="1:18" x14ac:dyDescent="0.35">
      <c r="A403" s="81" t="s">
        <v>255</v>
      </c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</row>
    <row r="404" spans="1:18" x14ac:dyDescent="0.35">
      <c r="A404" s="83" t="s">
        <v>8</v>
      </c>
      <c r="B404" s="83"/>
      <c r="C404" s="26" t="s">
        <v>157</v>
      </c>
      <c r="D404" s="26"/>
      <c r="E404" s="26" t="s">
        <v>162</v>
      </c>
      <c r="F404" s="26"/>
      <c r="G404" s="26" t="s">
        <v>191</v>
      </c>
      <c r="H404" s="26"/>
      <c r="I404" s="26" t="s">
        <v>159</v>
      </c>
      <c r="J404" s="26"/>
      <c r="K404" s="26" t="s">
        <v>160</v>
      </c>
      <c r="L404" s="26"/>
      <c r="M404" s="26" t="s">
        <v>163</v>
      </c>
      <c r="N404" s="26"/>
      <c r="O404" s="26" t="s">
        <v>158</v>
      </c>
      <c r="P404" s="26"/>
      <c r="Q404" s="26" t="s">
        <v>164</v>
      </c>
      <c r="R404" s="26"/>
    </row>
    <row r="405" spans="1:18" x14ac:dyDescent="0.35">
      <c r="A405" s="106" t="s">
        <v>10</v>
      </c>
      <c r="B405" s="106"/>
      <c r="C405" s="107" t="s">
        <v>165</v>
      </c>
      <c r="D405" s="59"/>
      <c r="E405" s="85">
        <v>3000</v>
      </c>
      <c r="F405" s="59"/>
      <c r="G405" s="59">
        <v>1</v>
      </c>
      <c r="H405" s="59"/>
      <c r="I405" s="59">
        <v>10</v>
      </c>
      <c r="J405" s="59"/>
      <c r="K405" s="62">
        <f>((E405/30)/24)*I405</f>
        <v>41.666666666666671</v>
      </c>
      <c r="L405" s="59"/>
      <c r="M405" s="59">
        <v>1</v>
      </c>
      <c r="N405" s="59"/>
      <c r="O405" s="62">
        <f>(E405*M405*G405)+K405</f>
        <v>3041.6666666666665</v>
      </c>
      <c r="P405" s="59"/>
      <c r="Q405" s="89">
        <f>(O405)/64000</f>
        <v>4.7526041666666664E-2</v>
      </c>
      <c r="R405" s="89"/>
    </row>
    <row r="406" spans="1:18" x14ac:dyDescent="0.35">
      <c r="A406" s="106"/>
      <c r="B406" s="106"/>
      <c r="C406" s="56" t="s">
        <v>204</v>
      </c>
      <c r="D406" s="61"/>
      <c r="E406" s="88">
        <v>2500</v>
      </c>
      <c r="F406" s="61"/>
      <c r="G406" s="61">
        <v>3</v>
      </c>
      <c r="H406" s="61"/>
      <c r="I406" s="61">
        <v>3</v>
      </c>
      <c r="J406" s="61"/>
      <c r="K406" s="62">
        <f t="shared" ref="K406:K411" si="44">((E406/30)/24)*I406</f>
        <v>10.416666666666666</v>
      </c>
      <c r="L406" s="59"/>
      <c r="M406" s="61">
        <v>1</v>
      </c>
      <c r="N406" s="61"/>
      <c r="O406" s="62">
        <f t="shared" ref="O406:O411" si="45">(E406*M406*G406)+K406</f>
        <v>7510.416666666667</v>
      </c>
      <c r="P406" s="59"/>
      <c r="Q406" s="89">
        <f t="shared" ref="Q406:Q411" si="46">(O406)/64000</f>
        <v>0.11735026041666667</v>
      </c>
      <c r="R406" s="89"/>
    </row>
    <row r="407" spans="1:18" x14ac:dyDescent="0.35">
      <c r="A407" s="106"/>
      <c r="B407" s="106"/>
      <c r="C407" s="56" t="s">
        <v>208</v>
      </c>
      <c r="D407" s="61"/>
      <c r="E407" s="88">
        <v>3000</v>
      </c>
      <c r="F407" s="61"/>
      <c r="G407" s="61">
        <v>1</v>
      </c>
      <c r="H407" s="61"/>
      <c r="I407" s="61">
        <v>12</v>
      </c>
      <c r="J407" s="61"/>
      <c r="K407" s="62">
        <f t="shared" si="44"/>
        <v>50</v>
      </c>
      <c r="L407" s="59"/>
      <c r="M407" s="61">
        <v>1</v>
      </c>
      <c r="N407" s="61"/>
      <c r="O407" s="62">
        <f t="shared" si="45"/>
        <v>3050</v>
      </c>
      <c r="P407" s="59"/>
      <c r="Q407" s="89">
        <f t="shared" si="46"/>
        <v>4.7656249999999997E-2</v>
      </c>
      <c r="R407" s="89"/>
    </row>
    <row r="408" spans="1:18" x14ac:dyDescent="0.35">
      <c r="A408" s="106"/>
      <c r="B408" s="106"/>
      <c r="C408" s="56" t="s">
        <v>168</v>
      </c>
      <c r="D408" s="61"/>
      <c r="E408" s="88">
        <v>500</v>
      </c>
      <c r="F408" s="61"/>
      <c r="G408" s="61">
        <v>1</v>
      </c>
      <c r="H408" s="61"/>
      <c r="I408" s="61">
        <v>0</v>
      </c>
      <c r="J408" s="61"/>
      <c r="K408" s="62">
        <f t="shared" si="44"/>
        <v>0</v>
      </c>
      <c r="L408" s="59"/>
      <c r="M408" s="61">
        <v>1</v>
      </c>
      <c r="N408" s="61"/>
      <c r="O408" s="62">
        <f t="shared" si="45"/>
        <v>500</v>
      </c>
      <c r="P408" s="59"/>
      <c r="Q408" s="89">
        <f t="shared" si="46"/>
        <v>7.8125E-3</v>
      </c>
      <c r="R408" s="89"/>
    </row>
    <row r="409" spans="1:18" x14ac:dyDescent="0.35">
      <c r="A409" s="106"/>
      <c r="B409" s="106"/>
      <c r="C409" s="56" t="s">
        <v>169</v>
      </c>
      <c r="D409" s="61"/>
      <c r="E409" s="88">
        <v>400</v>
      </c>
      <c r="F409" s="61"/>
      <c r="G409" s="61">
        <v>1</v>
      </c>
      <c r="H409" s="61"/>
      <c r="I409" s="61">
        <v>0</v>
      </c>
      <c r="J409" s="61"/>
      <c r="K409" s="62">
        <f t="shared" si="44"/>
        <v>0</v>
      </c>
      <c r="L409" s="59"/>
      <c r="M409" s="61">
        <v>1</v>
      </c>
      <c r="N409" s="61"/>
      <c r="O409" s="62">
        <f t="shared" si="45"/>
        <v>400</v>
      </c>
      <c r="P409" s="59"/>
      <c r="Q409" s="89">
        <f t="shared" si="46"/>
        <v>6.2500000000000003E-3</v>
      </c>
      <c r="R409" s="89"/>
    </row>
    <row r="410" spans="1:18" x14ac:dyDescent="0.35">
      <c r="A410" s="106"/>
      <c r="B410" s="106"/>
      <c r="C410" s="56" t="s">
        <v>188</v>
      </c>
      <c r="D410" s="61"/>
      <c r="E410" s="88">
        <v>800</v>
      </c>
      <c r="F410" s="61"/>
      <c r="G410" s="61">
        <v>1</v>
      </c>
      <c r="H410" s="61"/>
      <c r="I410" s="61">
        <v>0</v>
      </c>
      <c r="J410" s="61"/>
      <c r="K410" s="62">
        <f t="shared" si="44"/>
        <v>0</v>
      </c>
      <c r="L410" s="59"/>
      <c r="M410" s="61">
        <v>1</v>
      </c>
      <c r="N410" s="61"/>
      <c r="O410" s="62">
        <f t="shared" si="45"/>
        <v>800</v>
      </c>
      <c r="P410" s="59"/>
      <c r="Q410" s="89">
        <f t="shared" si="46"/>
        <v>1.2500000000000001E-2</v>
      </c>
      <c r="R410" s="89"/>
    </row>
    <row r="411" spans="1:18" x14ac:dyDescent="0.35">
      <c r="A411" s="106"/>
      <c r="B411" s="106"/>
      <c r="C411" s="56" t="s">
        <v>167</v>
      </c>
      <c r="D411" s="61"/>
      <c r="E411" s="88">
        <v>600</v>
      </c>
      <c r="F411" s="61"/>
      <c r="G411" s="61">
        <v>1</v>
      </c>
      <c r="H411" s="61"/>
      <c r="I411" s="61">
        <v>0</v>
      </c>
      <c r="J411" s="61"/>
      <c r="K411" s="62">
        <f t="shared" si="44"/>
        <v>0</v>
      </c>
      <c r="L411" s="59"/>
      <c r="M411" s="61">
        <v>1</v>
      </c>
      <c r="N411" s="61"/>
      <c r="O411" s="62">
        <f t="shared" si="45"/>
        <v>600</v>
      </c>
      <c r="P411" s="59"/>
      <c r="Q411" s="89">
        <f t="shared" si="46"/>
        <v>9.3749999999999997E-3</v>
      </c>
      <c r="R411" s="89"/>
    </row>
    <row r="412" spans="1:18" x14ac:dyDescent="0.35">
      <c r="A412" s="106"/>
      <c r="B412" s="106"/>
      <c r="C412" s="58" t="s">
        <v>2</v>
      </c>
      <c r="D412" s="58"/>
      <c r="E412" s="57">
        <f>SUM(E405:F411)</f>
        <v>10800</v>
      </c>
      <c r="F412" s="58"/>
      <c r="G412" s="58">
        <f>SUM(G405:H411)</f>
        <v>9</v>
      </c>
      <c r="H412" s="58"/>
      <c r="I412" s="58">
        <f>SUM(I405:J411)</f>
        <v>25</v>
      </c>
      <c r="J412" s="58"/>
      <c r="K412" s="99">
        <f>SUM(K405:L411)</f>
        <v>102.08333333333334</v>
      </c>
      <c r="L412" s="58"/>
      <c r="M412" s="58"/>
      <c r="N412" s="58"/>
      <c r="O412" s="99">
        <f>SUM(O405:P411)</f>
        <v>15902.083333333334</v>
      </c>
      <c r="P412" s="58"/>
      <c r="Q412" s="63">
        <f>SUM(Q405:R411)</f>
        <v>0.24847005208333334</v>
      </c>
      <c r="R412" s="58"/>
    </row>
    <row r="413" spans="1:18" x14ac:dyDescent="0.35">
      <c r="A413" s="103" t="s">
        <v>190</v>
      </c>
      <c r="B413" s="104"/>
      <c r="C413" s="26" t="s">
        <v>4</v>
      </c>
      <c r="D413" s="26"/>
      <c r="E413" s="26" t="s">
        <v>6</v>
      </c>
      <c r="F413" s="26"/>
      <c r="G413" s="26" t="s">
        <v>171</v>
      </c>
      <c r="H413" s="26"/>
      <c r="I413" s="36" t="s">
        <v>173</v>
      </c>
      <c r="J413" s="36"/>
      <c r="K413" s="36" t="s">
        <v>174</v>
      </c>
      <c r="L413" s="36"/>
      <c r="M413" s="36" t="s">
        <v>175</v>
      </c>
      <c r="N413" s="36"/>
      <c r="O413" s="36" t="s">
        <v>172</v>
      </c>
      <c r="P413" s="36"/>
      <c r="Q413" s="36" t="s">
        <v>161</v>
      </c>
      <c r="R413" s="36"/>
    </row>
    <row r="414" spans="1:18" x14ac:dyDescent="0.35">
      <c r="A414" s="105"/>
      <c r="B414" s="105"/>
      <c r="C414" s="61" t="s">
        <v>355</v>
      </c>
      <c r="D414" s="61"/>
      <c r="E414" s="61"/>
      <c r="F414" s="61"/>
      <c r="G414" s="61"/>
      <c r="H414" s="61"/>
      <c r="I414" s="61"/>
      <c r="J414" s="61"/>
      <c r="K414" s="2"/>
      <c r="L414" s="2"/>
      <c r="M414" s="61"/>
      <c r="N414" s="61"/>
      <c r="O414" s="61"/>
      <c r="P414" s="61"/>
      <c r="Q414" s="61"/>
      <c r="R414" s="61"/>
    </row>
    <row r="415" spans="1:18" x14ac:dyDescent="0.35">
      <c r="A415" s="105"/>
      <c r="B415" s="105"/>
      <c r="C415" s="61" t="s">
        <v>360</v>
      </c>
      <c r="D415" s="61"/>
      <c r="E415" s="61"/>
      <c r="F415" s="61"/>
      <c r="G415" s="61"/>
      <c r="H415" s="61"/>
      <c r="I415" s="61"/>
      <c r="J415" s="61"/>
      <c r="K415" s="2"/>
      <c r="L415" s="2"/>
      <c r="M415" s="61"/>
      <c r="N415" s="61"/>
      <c r="O415" s="61"/>
      <c r="P415" s="61"/>
      <c r="Q415" s="61"/>
      <c r="R415" s="61"/>
    </row>
    <row r="416" spans="1:18" x14ac:dyDescent="0.35">
      <c r="A416" s="105"/>
      <c r="B416" s="105"/>
      <c r="C416" s="61" t="s">
        <v>361</v>
      </c>
      <c r="D416" s="61"/>
      <c r="E416" s="61"/>
      <c r="F416" s="61"/>
      <c r="G416" s="61"/>
      <c r="H416" s="61"/>
      <c r="I416" s="61"/>
      <c r="J416" s="61"/>
      <c r="K416" s="2"/>
      <c r="L416" s="2"/>
      <c r="M416" s="61"/>
      <c r="N416" s="61"/>
      <c r="O416" s="61"/>
      <c r="P416" s="61"/>
      <c r="Q416" s="61"/>
      <c r="R416" s="61"/>
    </row>
    <row r="417" spans="1:18" x14ac:dyDescent="0.35">
      <c r="A417" s="105"/>
      <c r="B417" s="105"/>
      <c r="C417" s="61" t="s">
        <v>362</v>
      </c>
      <c r="D417" s="61"/>
      <c r="E417" s="61"/>
      <c r="F417" s="61"/>
      <c r="G417" s="61"/>
      <c r="H417" s="61"/>
      <c r="I417" s="61"/>
      <c r="J417" s="61"/>
      <c r="K417" s="2"/>
      <c r="L417" s="2"/>
      <c r="M417" s="61"/>
      <c r="N417" s="61"/>
      <c r="O417" s="61"/>
      <c r="P417" s="61"/>
      <c r="Q417" s="61"/>
      <c r="R417" s="61"/>
    </row>
    <row r="418" spans="1:18" x14ac:dyDescent="0.35">
      <c r="A418" s="105"/>
      <c r="B418" s="105"/>
      <c r="C418" s="61" t="s">
        <v>363</v>
      </c>
      <c r="D418" s="61"/>
      <c r="E418" s="112" t="s">
        <v>364</v>
      </c>
      <c r="F418" s="112"/>
      <c r="G418" s="61"/>
      <c r="H418" s="61"/>
      <c r="I418" s="61"/>
      <c r="J418" s="61"/>
      <c r="K418" s="2"/>
      <c r="L418" s="2"/>
      <c r="M418" s="61"/>
      <c r="N418" s="61"/>
      <c r="O418" s="61"/>
      <c r="P418" s="61"/>
      <c r="Q418" s="61"/>
      <c r="R418" s="61"/>
    </row>
    <row r="419" spans="1:18" x14ac:dyDescent="0.35">
      <c r="A419" s="105"/>
      <c r="B419" s="105"/>
      <c r="C419" s="61"/>
      <c r="D419" s="61"/>
      <c r="E419" s="61"/>
      <c r="F419" s="61"/>
      <c r="G419" s="61"/>
      <c r="H419" s="61"/>
      <c r="I419" s="61"/>
      <c r="J419" s="61"/>
      <c r="K419" s="2"/>
      <c r="L419" s="2"/>
      <c r="M419" s="61"/>
      <c r="N419" s="61"/>
      <c r="O419" s="61"/>
      <c r="P419" s="61"/>
      <c r="Q419" s="61"/>
      <c r="R419" s="61"/>
    </row>
    <row r="420" spans="1:18" x14ac:dyDescent="0.35">
      <c r="A420" s="105"/>
      <c r="B420" s="105"/>
      <c r="C420" s="61"/>
      <c r="D420" s="61"/>
      <c r="E420" s="61"/>
      <c r="F420" s="61"/>
      <c r="G420" s="61"/>
      <c r="H420" s="61"/>
      <c r="I420" s="61"/>
      <c r="J420" s="61"/>
      <c r="K420" s="2"/>
      <c r="L420" s="2"/>
      <c r="M420" s="61"/>
      <c r="N420" s="61"/>
      <c r="O420" s="61"/>
      <c r="P420" s="61"/>
      <c r="Q420" s="61"/>
      <c r="R420" s="61"/>
    </row>
    <row r="421" spans="1:18" x14ac:dyDescent="0.35">
      <c r="A421" s="105"/>
      <c r="B421" s="105"/>
      <c r="C421" s="58" t="s">
        <v>2</v>
      </c>
      <c r="D421" s="58"/>
      <c r="E421" s="58"/>
      <c r="F421" s="58"/>
      <c r="G421" s="58"/>
      <c r="H421" s="58"/>
      <c r="I421" s="58"/>
      <c r="J421" s="58"/>
      <c r="K421" s="6"/>
      <c r="L421" s="6"/>
      <c r="M421" s="58"/>
      <c r="N421" s="58"/>
      <c r="O421" s="58"/>
      <c r="P421" s="58"/>
      <c r="Q421" s="58"/>
      <c r="R421" s="58"/>
    </row>
    <row r="422" spans="1:18" x14ac:dyDescent="0.35">
      <c r="A422" s="102" t="s">
        <v>176</v>
      </c>
      <c r="B422" s="102"/>
      <c r="C422" s="50" t="s">
        <v>170</v>
      </c>
      <c r="D422" s="50"/>
      <c r="E422" s="50"/>
      <c r="F422" s="50"/>
      <c r="G422" s="50" t="s">
        <v>177</v>
      </c>
      <c r="H422" s="50"/>
      <c r="I422" s="50"/>
      <c r="J422" s="50"/>
      <c r="K422" s="50"/>
      <c r="L422" s="111" t="s">
        <v>178</v>
      </c>
      <c r="M422" s="111"/>
      <c r="N422" s="3" t="s">
        <v>173</v>
      </c>
      <c r="O422" s="36" t="s">
        <v>174</v>
      </c>
      <c r="P422" s="36"/>
      <c r="Q422" s="26" t="s">
        <v>307</v>
      </c>
      <c r="R422" s="26"/>
    </row>
    <row r="423" spans="1:18" x14ac:dyDescent="0.35">
      <c r="A423" s="102"/>
      <c r="B423" s="102"/>
      <c r="C423" s="76" t="s">
        <v>308</v>
      </c>
      <c r="D423" s="52"/>
      <c r="E423" s="52"/>
      <c r="F423" s="53"/>
      <c r="G423" s="76" t="s">
        <v>133</v>
      </c>
      <c r="H423" s="52"/>
      <c r="I423" s="52"/>
      <c r="J423" s="52"/>
      <c r="K423" s="53"/>
      <c r="L423" s="76"/>
      <c r="M423" s="53"/>
      <c r="N423" s="10"/>
      <c r="O423" s="59"/>
      <c r="P423" s="59"/>
      <c r="Q423" s="59"/>
      <c r="R423" s="59"/>
    </row>
    <row r="424" spans="1:18" x14ac:dyDescent="0.35">
      <c r="A424" s="102"/>
      <c r="B424" s="102"/>
      <c r="C424" s="60" t="s">
        <v>309</v>
      </c>
      <c r="D424" s="55"/>
      <c r="E424" s="55"/>
      <c r="F424" s="56"/>
      <c r="G424" s="60" t="s">
        <v>136</v>
      </c>
      <c r="H424" s="55"/>
      <c r="I424" s="55"/>
      <c r="J424" s="55"/>
      <c r="K424" s="56"/>
      <c r="L424" s="60"/>
      <c r="M424" s="56"/>
      <c r="N424" s="2"/>
      <c r="O424" s="61"/>
      <c r="P424" s="61"/>
      <c r="Q424" s="61"/>
      <c r="R424" s="61"/>
    </row>
    <row r="425" spans="1:18" x14ac:dyDescent="0.35">
      <c r="A425" s="102"/>
      <c r="B425" s="102"/>
      <c r="C425" s="60" t="s">
        <v>310</v>
      </c>
      <c r="D425" s="55"/>
      <c r="E425" s="55"/>
      <c r="F425" s="56"/>
      <c r="G425" s="60"/>
      <c r="H425" s="55"/>
      <c r="I425" s="55"/>
      <c r="J425" s="55"/>
      <c r="K425" s="56"/>
      <c r="L425" s="60"/>
      <c r="M425" s="56"/>
      <c r="N425" s="2"/>
      <c r="O425" s="61"/>
      <c r="P425" s="61"/>
      <c r="Q425" s="61"/>
      <c r="R425" s="61"/>
    </row>
    <row r="426" spans="1:18" x14ac:dyDescent="0.35">
      <c r="A426" s="102"/>
      <c r="B426" s="102"/>
      <c r="C426" s="60" t="s">
        <v>311</v>
      </c>
      <c r="D426" s="55"/>
      <c r="E426" s="55"/>
      <c r="F426" s="56"/>
      <c r="G426" s="60"/>
      <c r="H426" s="55"/>
      <c r="I426" s="55"/>
      <c r="J426" s="55"/>
      <c r="K426" s="56"/>
      <c r="L426" s="60"/>
      <c r="M426" s="56"/>
      <c r="N426" s="2"/>
      <c r="O426" s="61"/>
      <c r="P426" s="61"/>
      <c r="Q426" s="61"/>
      <c r="R426" s="61"/>
    </row>
    <row r="427" spans="1:18" x14ac:dyDescent="0.35">
      <c r="A427" s="102"/>
      <c r="B427" s="102"/>
      <c r="C427" s="60" t="s">
        <v>312</v>
      </c>
      <c r="D427" s="55"/>
      <c r="E427" s="55"/>
      <c r="F427" s="56"/>
      <c r="G427" s="60"/>
      <c r="H427" s="55"/>
      <c r="I427" s="55"/>
      <c r="J427" s="55"/>
      <c r="K427" s="56"/>
      <c r="L427" s="60"/>
      <c r="M427" s="56"/>
      <c r="N427" s="2"/>
      <c r="O427" s="61"/>
      <c r="P427" s="61"/>
      <c r="Q427" s="61"/>
      <c r="R427" s="61"/>
    </row>
    <row r="428" spans="1:18" x14ac:dyDescent="0.35">
      <c r="A428" s="102"/>
      <c r="B428" s="102"/>
      <c r="C428" s="60" t="s">
        <v>313</v>
      </c>
      <c r="D428" s="55"/>
      <c r="E428" s="55"/>
      <c r="F428" s="56"/>
      <c r="G428" s="60"/>
      <c r="H428" s="55"/>
      <c r="I428" s="55"/>
      <c r="J428" s="55"/>
      <c r="K428" s="56"/>
      <c r="L428" s="60"/>
      <c r="M428" s="56"/>
      <c r="N428" s="2"/>
      <c r="O428" s="61"/>
      <c r="P428" s="61"/>
      <c r="Q428" s="61"/>
      <c r="R428" s="61"/>
    </row>
    <row r="429" spans="1:18" x14ac:dyDescent="0.35">
      <c r="A429" s="102"/>
      <c r="B429" s="102"/>
      <c r="C429" s="77" t="s">
        <v>314</v>
      </c>
      <c r="D429" s="119"/>
      <c r="E429" s="119"/>
      <c r="F429" s="78"/>
      <c r="G429" s="77"/>
      <c r="H429" s="119"/>
      <c r="I429" s="119"/>
      <c r="J429" s="119"/>
      <c r="K429" s="78"/>
      <c r="L429" s="77"/>
      <c r="M429" s="78"/>
      <c r="N429" s="2"/>
      <c r="O429" s="61"/>
      <c r="P429" s="61"/>
      <c r="Q429" s="61"/>
      <c r="R429" s="61"/>
    </row>
    <row r="430" spans="1:18" x14ac:dyDescent="0.35">
      <c r="A430" s="102"/>
      <c r="B430" s="102"/>
      <c r="C430" s="58" t="s">
        <v>2</v>
      </c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6"/>
      <c r="O430" s="58"/>
      <c r="P430" s="58"/>
      <c r="Q430" s="58"/>
      <c r="R430" s="58"/>
    </row>
    <row r="431" spans="1:18" x14ac:dyDescent="0.35">
      <c r="A431" s="100" t="s">
        <v>179</v>
      </c>
      <c r="B431" s="101"/>
      <c r="C431" s="26" t="s">
        <v>4</v>
      </c>
      <c r="D431" s="26"/>
      <c r="E431" s="26" t="s">
        <v>6</v>
      </c>
      <c r="F431" s="26"/>
      <c r="G431" s="26"/>
      <c r="H431" s="26"/>
      <c r="I431" s="26" t="s">
        <v>180</v>
      </c>
      <c r="J431" s="26"/>
      <c r="K431" s="26" t="s">
        <v>163</v>
      </c>
      <c r="L431" s="26"/>
      <c r="M431" s="36" t="s">
        <v>173</v>
      </c>
      <c r="N431" s="36"/>
      <c r="O431" s="36" t="s">
        <v>174</v>
      </c>
      <c r="P431" s="36"/>
      <c r="Q431" s="26" t="s">
        <v>161</v>
      </c>
      <c r="R431" s="26"/>
    </row>
    <row r="432" spans="1:18" x14ac:dyDescent="0.35">
      <c r="A432" s="101"/>
      <c r="B432" s="101"/>
      <c r="C432" s="59" t="s">
        <v>181</v>
      </c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76"/>
      <c r="R432" s="53"/>
    </row>
    <row r="433" spans="1:18" x14ac:dyDescent="0.35">
      <c r="A433" s="101"/>
      <c r="B433" s="101"/>
      <c r="C433" s="61" t="s">
        <v>182</v>
      </c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0"/>
      <c r="R433" s="56"/>
    </row>
    <row r="434" spans="1:18" x14ac:dyDescent="0.35">
      <c r="A434" s="101"/>
      <c r="B434" s="101"/>
      <c r="C434" s="61" t="s">
        <v>183</v>
      </c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0"/>
      <c r="R434" s="56"/>
    </row>
    <row r="435" spans="1:18" x14ac:dyDescent="0.35">
      <c r="A435" s="101"/>
      <c r="B435" s="101"/>
      <c r="C435" s="61" t="s">
        <v>184</v>
      </c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0"/>
      <c r="R435" s="56"/>
    </row>
    <row r="436" spans="1:18" x14ac:dyDescent="0.35">
      <c r="A436" s="101"/>
      <c r="B436" s="101"/>
      <c r="C436" s="61" t="s">
        <v>185</v>
      </c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0"/>
      <c r="R436" s="56"/>
    </row>
    <row r="437" spans="1:18" x14ac:dyDescent="0.35">
      <c r="A437" s="101"/>
      <c r="B437" s="101"/>
      <c r="C437" s="61" t="s">
        <v>186</v>
      </c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0"/>
      <c r="R437" s="56"/>
    </row>
    <row r="438" spans="1:18" x14ac:dyDescent="0.35">
      <c r="A438" s="101"/>
      <c r="B438" s="101"/>
      <c r="C438" s="61" t="s">
        <v>189</v>
      </c>
      <c r="D438" s="61"/>
      <c r="E438" s="60"/>
      <c r="F438" s="55"/>
      <c r="G438" s="55"/>
      <c r="H438" s="56"/>
      <c r="I438" s="60"/>
      <c r="J438" s="56"/>
      <c r="K438" s="60"/>
      <c r="L438" s="56"/>
      <c r="M438" s="60"/>
      <c r="N438" s="56"/>
      <c r="O438" s="60"/>
      <c r="P438" s="56"/>
      <c r="Q438" s="60"/>
      <c r="R438" s="56"/>
    </row>
    <row r="439" spans="1:18" x14ac:dyDescent="0.35">
      <c r="A439" s="101"/>
      <c r="B439" s="101"/>
      <c r="C439" s="61" t="s">
        <v>132</v>
      </c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0"/>
      <c r="R439" s="56"/>
    </row>
    <row r="440" spans="1:18" x14ac:dyDescent="0.35">
      <c r="A440" s="5"/>
      <c r="B440" s="5"/>
      <c r="C440" s="58" t="s">
        <v>2</v>
      </c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</row>
    <row r="441" spans="1:18" x14ac:dyDescent="0.35">
      <c r="A441" s="94" t="s">
        <v>192</v>
      </c>
      <c r="B441" s="95"/>
      <c r="C441" s="50" t="s">
        <v>4</v>
      </c>
      <c r="D441" s="50"/>
      <c r="E441" s="50"/>
      <c r="F441" s="50" t="s">
        <v>6</v>
      </c>
      <c r="G441" s="50"/>
      <c r="H441" s="50"/>
      <c r="I441" s="50"/>
      <c r="J441" s="9" t="s">
        <v>301</v>
      </c>
      <c r="K441" s="26" t="s">
        <v>193</v>
      </c>
      <c r="L441" s="26"/>
      <c r="M441" s="26" t="s">
        <v>194</v>
      </c>
      <c r="N441" s="26"/>
      <c r="O441" s="26" t="s">
        <v>174</v>
      </c>
      <c r="P441" s="26"/>
      <c r="Q441" s="26" t="s">
        <v>161</v>
      </c>
      <c r="R441" s="26"/>
    </row>
    <row r="442" spans="1:18" x14ac:dyDescent="0.35">
      <c r="A442" s="95"/>
      <c r="B442" s="95"/>
      <c r="C442" s="76" t="s">
        <v>302</v>
      </c>
      <c r="D442" s="52"/>
      <c r="E442" s="53"/>
      <c r="F442" s="76"/>
      <c r="G442" s="52"/>
      <c r="H442" s="52"/>
      <c r="I442" s="53"/>
      <c r="J442" s="10"/>
      <c r="K442" s="59"/>
      <c r="L442" s="59"/>
      <c r="M442" s="59"/>
      <c r="N442" s="59"/>
      <c r="O442" s="59"/>
      <c r="P442" s="59"/>
      <c r="Q442" s="59"/>
      <c r="R442" s="59"/>
    </row>
    <row r="443" spans="1:18" x14ac:dyDescent="0.35">
      <c r="A443" s="95"/>
      <c r="B443" s="95"/>
      <c r="C443" s="60" t="s">
        <v>303</v>
      </c>
      <c r="D443" s="55"/>
      <c r="E443" s="56"/>
      <c r="F443" s="60"/>
      <c r="G443" s="55"/>
      <c r="H443" s="55"/>
      <c r="I443" s="56"/>
      <c r="J443" s="2"/>
      <c r="K443" s="61"/>
      <c r="L443" s="61"/>
      <c r="M443" s="61"/>
      <c r="N443" s="61"/>
      <c r="O443" s="61"/>
      <c r="P443" s="61"/>
      <c r="Q443" s="61"/>
      <c r="R443" s="61"/>
    </row>
    <row r="444" spans="1:18" x14ac:dyDescent="0.35">
      <c r="A444" s="95"/>
      <c r="B444" s="95"/>
      <c r="C444" s="60" t="s">
        <v>304</v>
      </c>
      <c r="D444" s="55"/>
      <c r="E444" s="56"/>
      <c r="F444" s="60"/>
      <c r="G444" s="55"/>
      <c r="H444" s="55"/>
      <c r="I444" s="56"/>
      <c r="J444" s="2"/>
      <c r="K444" s="61"/>
      <c r="L444" s="61"/>
      <c r="M444" s="61"/>
      <c r="N444" s="61"/>
      <c r="O444" s="61"/>
      <c r="P444" s="61"/>
      <c r="Q444" s="61"/>
      <c r="R444" s="61"/>
    </row>
    <row r="445" spans="1:18" x14ac:dyDescent="0.35">
      <c r="A445" s="95"/>
      <c r="B445" s="95"/>
      <c r="C445" s="60" t="s">
        <v>305</v>
      </c>
      <c r="D445" s="55"/>
      <c r="E445" s="56"/>
      <c r="F445" s="60"/>
      <c r="G445" s="55"/>
      <c r="H445" s="55"/>
      <c r="I445" s="56"/>
      <c r="J445" s="2"/>
      <c r="K445" s="61"/>
      <c r="L445" s="61"/>
      <c r="M445" s="61"/>
      <c r="N445" s="61"/>
      <c r="O445" s="61"/>
      <c r="P445" s="61"/>
      <c r="Q445" s="61"/>
      <c r="R445" s="61"/>
    </row>
    <row r="446" spans="1:18" x14ac:dyDescent="0.35">
      <c r="A446" s="95"/>
      <c r="B446" s="95"/>
      <c r="C446" s="60" t="s">
        <v>306</v>
      </c>
      <c r="D446" s="55"/>
      <c r="E446" s="56"/>
      <c r="F446" s="60"/>
      <c r="G446" s="55"/>
      <c r="H446" s="55"/>
      <c r="I446" s="56"/>
      <c r="J446" s="2"/>
      <c r="K446" s="61"/>
      <c r="L446" s="61"/>
      <c r="M446" s="61"/>
      <c r="N446" s="61"/>
      <c r="O446" s="61"/>
      <c r="P446" s="61"/>
      <c r="Q446" s="61"/>
      <c r="R446" s="61"/>
    </row>
    <row r="447" spans="1:18" x14ac:dyDescent="0.35">
      <c r="A447" s="95"/>
      <c r="B447" s="95"/>
      <c r="C447" s="60" t="s">
        <v>356</v>
      </c>
      <c r="D447" s="55"/>
      <c r="E447" s="56"/>
      <c r="F447" s="60"/>
      <c r="G447" s="55"/>
      <c r="H447" s="55"/>
      <c r="I447" s="56"/>
      <c r="J447" s="2"/>
      <c r="K447" s="61"/>
      <c r="L447" s="61"/>
      <c r="M447" s="61"/>
      <c r="N447" s="61"/>
      <c r="O447" s="61"/>
      <c r="P447" s="61"/>
      <c r="Q447" s="61"/>
      <c r="R447" s="61"/>
    </row>
    <row r="448" spans="1:18" x14ac:dyDescent="0.35">
      <c r="A448" s="95"/>
      <c r="B448" s="95"/>
      <c r="C448" s="60" t="s">
        <v>357</v>
      </c>
      <c r="D448" s="55"/>
      <c r="E448" s="56"/>
      <c r="F448" s="60"/>
      <c r="G448" s="55"/>
      <c r="H448" s="55"/>
      <c r="I448" s="56"/>
      <c r="J448" s="2"/>
      <c r="K448" s="61"/>
      <c r="L448" s="61"/>
      <c r="M448" s="61"/>
      <c r="N448" s="61"/>
      <c r="O448" s="61"/>
      <c r="P448" s="61"/>
      <c r="Q448" s="61"/>
      <c r="R448" s="61"/>
    </row>
    <row r="449" spans="1:18" x14ac:dyDescent="0.35">
      <c r="A449" s="95"/>
      <c r="B449" s="95"/>
      <c r="C449" s="77" t="s">
        <v>359</v>
      </c>
      <c r="D449" s="119"/>
      <c r="E449" s="78"/>
      <c r="F449" s="77"/>
      <c r="G449" s="119"/>
      <c r="H449" s="119"/>
      <c r="I449" s="78"/>
      <c r="J449" s="2"/>
      <c r="K449" s="61"/>
      <c r="L449" s="61"/>
      <c r="M449" s="61"/>
      <c r="N449" s="61"/>
      <c r="O449" s="61"/>
      <c r="P449" s="61"/>
      <c r="Q449" s="61"/>
      <c r="R449" s="61"/>
    </row>
    <row r="450" spans="1:18" x14ac:dyDescent="0.35">
      <c r="A450" s="95"/>
      <c r="B450" s="95"/>
      <c r="C450" s="58" t="s">
        <v>2</v>
      </c>
      <c r="D450" s="58"/>
      <c r="E450" s="58"/>
      <c r="F450" s="58"/>
      <c r="G450" s="58"/>
      <c r="H450" s="58"/>
      <c r="I450" s="58"/>
      <c r="J450" s="6"/>
      <c r="K450" s="58"/>
      <c r="L450" s="58"/>
      <c r="M450" s="58"/>
      <c r="N450" s="58"/>
      <c r="O450" s="58"/>
      <c r="P450" s="58"/>
      <c r="Q450" s="58"/>
      <c r="R450" s="58"/>
    </row>
    <row r="451" spans="1:18" x14ac:dyDescent="0.35">
      <c r="A451" s="93" t="s">
        <v>42</v>
      </c>
      <c r="B451" s="93"/>
      <c r="C451" s="26" t="s">
        <v>195</v>
      </c>
      <c r="D451" s="26"/>
      <c r="E451" s="26" t="s">
        <v>6</v>
      </c>
      <c r="F451" s="26"/>
      <c r="G451" s="26"/>
      <c r="H451" s="26"/>
      <c r="I451" s="50" t="s">
        <v>194</v>
      </c>
      <c r="J451" s="50"/>
      <c r="K451" s="50"/>
      <c r="L451" s="50"/>
      <c r="M451" s="26" t="s">
        <v>174</v>
      </c>
      <c r="N451" s="26"/>
      <c r="O451" s="50" t="s">
        <v>161</v>
      </c>
      <c r="P451" s="50"/>
      <c r="Q451" s="50"/>
      <c r="R451" s="50"/>
    </row>
    <row r="452" spans="1:18" x14ac:dyDescent="0.35">
      <c r="A452" s="93"/>
      <c r="B452" s="93"/>
      <c r="C452" s="59" t="s">
        <v>196</v>
      </c>
      <c r="D452" s="59"/>
      <c r="E452" s="59"/>
      <c r="F452" s="59"/>
      <c r="G452" s="59"/>
      <c r="H452" s="59"/>
      <c r="I452" s="51">
        <v>4000</v>
      </c>
      <c r="J452" s="52"/>
      <c r="K452" s="52"/>
      <c r="L452" s="53"/>
      <c r="M452" s="85">
        <v>4000</v>
      </c>
      <c r="N452" s="59"/>
      <c r="O452" s="64">
        <f>(M452)/64000</f>
        <v>6.25E-2</v>
      </c>
      <c r="P452" s="65"/>
      <c r="Q452" s="65"/>
      <c r="R452" s="66"/>
    </row>
    <row r="453" spans="1:18" x14ac:dyDescent="0.35">
      <c r="A453" s="93"/>
      <c r="B453" s="93"/>
      <c r="C453" s="61" t="s">
        <v>250</v>
      </c>
      <c r="D453" s="61"/>
      <c r="E453" s="61"/>
      <c r="F453" s="61"/>
      <c r="G453" s="61"/>
      <c r="H453" s="61"/>
      <c r="I453" s="54">
        <v>4000</v>
      </c>
      <c r="J453" s="55"/>
      <c r="K453" s="55"/>
      <c r="L453" s="56"/>
      <c r="M453" s="88">
        <v>4000</v>
      </c>
      <c r="N453" s="61"/>
      <c r="O453" s="67">
        <f t="shared" ref="O453:O455" si="47">(M453)/64000</f>
        <v>6.25E-2</v>
      </c>
      <c r="P453" s="68"/>
      <c r="Q453" s="68"/>
      <c r="R453" s="69"/>
    </row>
    <row r="454" spans="1:18" x14ac:dyDescent="0.35">
      <c r="A454" s="93"/>
      <c r="B454" s="93"/>
      <c r="C454" s="61" t="s">
        <v>256</v>
      </c>
      <c r="D454" s="61"/>
      <c r="E454" s="61"/>
      <c r="F454" s="61"/>
      <c r="G454" s="61"/>
      <c r="H454" s="61"/>
      <c r="I454" s="54">
        <v>3500</v>
      </c>
      <c r="J454" s="55"/>
      <c r="K454" s="55"/>
      <c r="L454" s="56"/>
      <c r="M454" s="88">
        <v>3500</v>
      </c>
      <c r="N454" s="61"/>
      <c r="O454" s="70">
        <f t="shared" si="47"/>
        <v>5.46875E-2</v>
      </c>
      <c r="P454" s="71"/>
      <c r="Q454" s="71"/>
      <c r="R454" s="72"/>
    </row>
    <row r="455" spans="1:18" x14ac:dyDescent="0.35">
      <c r="A455" s="93"/>
      <c r="B455" s="93"/>
      <c r="C455" s="61" t="s">
        <v>199</v>
      </c>
      <c r="D455" s="61"/>
      <c r="E455" s="61"/>
      <c r="F455" s="61"/>
      <c r="G455" s="61"/>
      <c r="H455" s="61"/>
      <c r="I455" s="54">
        <v>2500</v>
      </c>
      <c r="J455" s="55"/>
      <c r="K455" s="55"/>
      <c r="L455" s="56"/>
      <c r="M455" s="88">
        <v>2500</v>
      </c>
      <c r="N455" s="61"/>
      <c r="O455" s="73">
        <f t="shared" si="47"/>
        <v>3.90625E-2</v>
      </c>
      <c r="P455" s="74"/>
      <c r="Q455" s="74"/>
      <c r="R455" s="75"/>
    </row>
    <row r="456" spans="1:18" x14ac:dyDescent="0.35">
      <c r="A456" s="93"/>
      <c r="B456" s="93"/>
      <c r="C456" s="58" t="s">
        <v>2</v>
      </c>
      <c r="D456" s="58"/>
      <c r="E456" s="58"/>
      <c r="F456" s="58"/>
      <c r="G456" s="58"/>
      <c r="H456" s="58"/>
      <c r="I456" s="57">
        <f>SUM(I452:L455)</f>
        <v>14000</v>
      </c>
      <c r="J456" s="58"/>
      <c r="K456" s="58"/>
      <c r="L456" s="58"/>
      <c r="M456" s="57">
        <f>SUM(M452:N455)</f>
        <v>14000</v>
      </c>
      <c r="N456" s="58"/>
      <c r="O456" s="63">
        <f>SUM(O452:R455)</f>
        <v>0.21875</v>
      </c>
      <c r="P456" s="58"/>
      <c r="Q456" s="58"/>
      <c r="R456" s="58"/>
    </row>
    <row r="480" spans="1:18" x14ac:dyDescent="0.35">
      <c r="A480" s="108" t="s">
        <v>140</v>
      </c>
      <c r="B480" s="109"/>
      <c r="C480" s="109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</row>
    <row r="481" spans="1:18" x14ac:dyDescent="0.35">
      <c r="A481" s="109"/>
      <c r="B481" s="109"/>
      <c r="C481" s="109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</row>
    <row r="482" spans="1:18" x14ac:dyDescent="0.35">
      <c r="A482" s="80" t="s">
        <v>141</v>
      </c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</row>
    <row r="483" spans="1:18" x14ac:dyDescent="0.35">
      <c r="A483" s="80" t="s">
        <v>142</v>
      </c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</row>
    <row r="484" spans="1:18" x14ac:dyDescent="0.35">
      <c r="A484" s="81" t="s">
        <v>255</v>
      </c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</row>
    <row r="485" spans="1:18" x14ac:dyDescent="0.35">
      <c r="A485" s="83" t="s">
        <v>8</v>
      </c>
      <c r="B485" s="83"/>
      <c r="C485" s="26" t="s">
        <v>157</v>
      </c>
      <c r="D485" s="26"/>
      <c r="E485" s="26" t="s">
        <v>162</v>
      </c>
      <c r="F485" s="26"/>
      <c r="G485" s="26" t="s">
        <v>191</v>
      </c>
      <c r="H485" s="26"/>
      <c r="I485" s="26" t="s">
        <v>159</v>
      </c>
      <c r="J485" s="26"/>
      <c r="K485" s="26" t="s">
        <v>160</v>
      </c>
      <c r="L485" s="26"/>
      <c r="M485" s="26" t="s">
        <v>163</v>
      </c>
      <c r="N485" s="26"/>
      <c r="O485" s="26" t="s">
        <v>158</v>
      </c>
      <c r="P485" s="26"/>
      <c r="Q485" s="26" t="s">
        <v>164</v>
      </c>
      <c r="R485" s="26"/>
    </row>
    <row r="486" spans="1:18" x14ac:dyDescent="0.35">
      <c r="A486" s="106" t="s">
        <v>10</v>
      </c>
      <c r="B486" s="106"/>
      <c r="C486" s="107" t="s">
        <v>165</v>
      </c>
      <c r="D486" s="59"/>
      <c r="E486" s="85">
        <v>3000</v>
      </c>
      <c r="F486" s="59"/>
      <c r="G486" s="59">
        <v>1</v>
      </c>
      <c r="H486" s="59"/>
      <c r="I486" s="59">
        <v>10</v>
      </c>
      <c r="J486" s="59"/>
      <c r="K486" s="62">
        <f>((E486/30)/24)*I486</f>
        <v>41.666666666666671</v>
      </c>
      <c r="L486" s="59"/>
      <c r="M486" s="59">
        <v>1</v>
      </c>
      <c r="N486" s="59"/>
      <c r="O486" s="62">
        <f>(E486*M486*G486)+K486</f>
        <v>3041.6666666666665</v>
      </c>
      <c r="P486" s="59"/>
      <c r="Q486" s="79">
        <f>(O486)/64000</f>
        <v>4.7526041666666664E-2</v>
      </c>
      <c r="R486" s="79"/>
    </row>
    <row r="487" spans="1:18" x14ac:dyDescent="0.35">
      <c r="A487" s="106"/>
      <c r="B487" s="106"/>
      <c r="C487" s="56" t="s">
        <v>209</v>
      </c>
      <c r="D487" s="61"/>
      <c r="E487" s="88">
        <v>1000</v>
      </c>
      <c r="F487" s="61"/>
      <c r="G487" s="61">
        <v>2</v>
      </c>
      <c r="H487" s="61"/>
      <c r="I487" s="61">
        <v>8</v>
      </c>
      <c r="J487" s="61"/>
      <c r="K487" s="62">
        <f t="shared" ref="K487:K492" si="48">((E487/30)/24)*I487</f>
        <v>11.111111111111112</v>
      </c>
      <c r="L487" s="59"/>
      <c r="M487" s="61">
        <v>1</v>
      </c>
      <c r="N487" s="61"/>
      <c r="O487" s="62">
        <f t="shared" ref="O487:O492" si="49">(E487*M487*G487)+K487</f>
        <v>2011.1111111111111</v>
      </c>
      <c r="P487" s="59"/>
      <c r="Q487" s="79">
        <f t="shared" ref="Q487:Q492" si="50">(O487)/64000</f>
        <v>3.142361111111111E-2</v>
      </c>
      <c r="R487" s="79"/>
    </row>
    <row r="488" spans="1:18" x14ac:dyDescent="0.35">
      <c r="A488" s="106"/>
      <c r="B488" s="106"/>
      <c r="C488" s="56" t="s">
        <v>204</v>
      </c>
      <c r="D488" s="61"/>
      <c r="E488" s="88">
        <v>2500</v>
      </c>
      <c r="F488" s="61"/>
      <c r="G488" s="61">
        <v>1</v>
      </c>
      <c r="H488" s="61"/>
      <c r="I488" s="61">
        <v>5</v>
      </c>
      <c r="J488" s="61"/>
      <c r="K488" s="62">
        <f t="shared" si="48"/>
        <v>17.361111111111111</v>
      </c>
      <c r="L488" s="59"/>
      <c r="M488" s="61">
        <v>1</v>
      </c>
      <c r="N488" s="61"/>
      <c r="O488" s="62">
        <f t="shared" si="49"/>
        <v>2517.3611111111113</v>
      </c>
      <c r="P488" s="59"/>
      <c r="Q488" s="79">
        <f t="shared" si="50"/>
        <v>3.9333767361111112E-2</v>
      </c>
      <c r="R488" s="79"/>
    </row>
    <row r="489" spans="1:18" x14ac:dyDescent="0.35">
      <c r="A489" s="106"/>
      <c r="B489" s="106"/>
      <c r="C489" s="56" t="s">
        <v>168</v>
      </c>
      <c r="D489" s="61"/>
      <c r="E489" s="88">
        <v>500</v>
      </c>
      <c r="F489" s="61"/>
      <c r="G489" s="61">
        <v>1</v>
      </c>
      <c r="H489" s="61"/>
      <c r="I489" s="61">
        <v>0</v>
      </c>
      <c r="J489" s="61"/>
      <c r="K489" s="62">
        <f t="shared" si="48"/>
        <v>0</v>
      </c>
      <c r="L489" s="59"/>
      <c r="M489" s="61">
        <v>1</v>
      </c>
      <c r="N489" s="61"/>
      <c r="O489" s="62">
        <f t="shared" si="49"/>
        <v>500</v>
      </c>
      <c r="P489" s="59"/>
      <c r="Q489" s="79">
        <f t="shared" si="50"/>
        <v>7.8125E-3</v>
      </c>
      <c r="R489" s="79"/>
    </row>
    <row r="490" spans="1:18" x14ac:dyDescent="0.35">
      <c r="A490" s="106"/>
      <c r="B490" s="106"/>
      <c r="C490" s="56" t="s">
        <v>169</v>
      </c>
      <c r="D490" s="61"/>
      <c r="E490" s="88">
        <v>400</v>
      </c>
      <c r="F490" s="61"/>
      <c r="G490" s="61">
        <v>1</v>
      </c>
      <c r="H490" s="61"/>
      <c r="I490" s="61">
        <v>0</v>
      </c>
      <c r="J490" s="61"/>
      <c r="K490" s="62">
        <f t="shared" si="48"/>
        <v>0</v>
      </c>
      <c r="L490" s="59"/>
      <c r="M490" s="61">
        <v>1</v>
      </c>
      <c r="N490" s="61"/>
      <c r="O490" s="62">
        <f t="shared" si="49"/>
        <v>400</v>
      </c>
      <c r="P490" s="59"/>
      <c r="Q490" s="79">
        <f t="shared" si="50"/>
        <v>6.2500000000000003E-3</v>
      </c>
      <c r="R490" s="79"/>
    </row>
    <row r="491" spans="1:18" x14ac:dyDescent="0.35">
      <c r="A491" s="106"/>
      <c r="B491" s="106"/>
      <c r="C491" s="56" t="s">
        <v>188</v>
      </c>
      <c r="D491" s="61"/>
      <c r="E491" s="88">
        <v>800</v>
      </c>
      <c r="F491" s="61"/>
      <c r="G491" s="61">
        <v>1</v>
      </c>
      <c r="H491" s="61"/>
      <c r="I491" s="61">
        <v>0</v>
      </c>
      <c r="J491" s="61"/>
      <c r="K491" s="62">
        <f t="shared" si="48"/>
        <v>0</v>
      </c>
      <c r="L491" s="59"/>
      <c r="M491" s="61">
        <v>1</v>
      </c>
      <c r="N491" s="61"/>
      <c r="O491" s="62">
        <f t="shared" si="49"/>
        <v>800</v>
      </c>
      <c r="P491" s="59"/>
      <c r="Q491" s="79">
        <f t="shared" si="50"/>
        <v>1.2500000000000001E-2</v>
      </c>
      <c r="R491" s="79"/>
    </row>
    <row r="492" spans="1:18" x14ac:dyDescent="0.35">
      <c r="A492" s="106"/>
      <c r="B492" s="106"/>
      <c r="C492" s="56" t="s">
        <v>167</v>
      </c>
      <c r="D492" s="61"/>
      <c r="E492" s="88">
        <v>600</v>
      </c>
      <c r="F492" s="61"/>
      <c r="G492" s="61">
        <v>1</v>
      </c>
      <c r="H492" s="61"/>
      <c r="I492" s="61">
        <v>0</v>
      </c>
      <c r="J492" s="61"/>
      <c r="K492" s="62">
        <f t="shared" si="48"/>
        <v>0</v>
      </c>
      <c r="L492" s="59"/>
      <c r="M492" s="61">
        <v>1</v>
      </c>
      <c r="N492" s="61"/>
      <c r="O492" s="62">
        <f t="shared" si="49"/>
        <v>600</v>
      </c>
      <c r="P492" s="59"/>
      <c r="Q492" s="79">
        <f t="shared" si="50"/>
        <v>9.3749999999999997E-3</v>
      </c>
      <c r="R492" s="79"/>
    </row>
    <row r="493" spans="1:18" x14ac:dyDescent="0.35">
      <c r="A493" s="8"/>
      <c r="B493" s="8"/>
      <c r="C493" s="58" t="s">
        <v>2</v>
      </c>
      <c r="D493" s="58"/>
      <c r="E493" s="57">
        <f>SUM(E486:F492)</f>
        <v>8800</v>
      </c>
      <c r="F493" s="58"/>
      <c r="G493" s="58">
        <f>SUM(G486:H492)</f>
        <v>8</v>
      </c>
      <c r="H493" s="58"/>
      <c r="I493" s="58">
        <f>SUM(I486:J492)</f>
        <v>23</v>
      </c>
      <c r="J493" s="58"/>
      <c r="K493" s="99">
        <f>SUM(K486:L492)</f>
        <v>70.1388888888889</v>
      </c>
      <c r="L493" s="99"/>
      <c r="M493" s="58"/>
      <c r="N493" s="58"/>
      <c r="O493" s="99">
        <f>SUM(O486:P492)</f>
        <v>9870.1388888888887</v>
      </c>
      <c r="P493" s="99"/>
      <c r="Q493" s="63">
        <f>SUM(Q486:R492)</f>
        <v>0.15422092013888888</v>
      </c>
      <c r="R493" s="58"/>
    </row>
    <row r="494" spans="1:18" x14ac:dyDescent="0.35">
      <c r="A494" s="103" t="s">
        <v>190</v>
      </c>
      <c r="B494" s="104"/>
      <c r="C494" s="50" t="s">
        <v>4</v>
      </c>
      <c r="D494" s="50"/>
      <c r="E494" s="50"/>
      <c r="F494" s="50" t="s">
        <v>6</v>
      </c>
      <c r="G494" s="50"/>
      <c r="H494" s="50"/>
      <c r="I494" s="3" t="s">
        <v>180</v>
      </c>
      <c r="J494" s="3" t="s">
        <v>173</v>
      </c>
      <c r="K494" s="36" t="s">
        <v>174</v>
      </c>
      <c r="L494" s="36"/>
      <c r="M494" s="36" t="s">
        <v>175</v>
      </c>
      <c r="N494" s="36"/>
      <c r="O494" s="36" t="s">
        <v>172</v>
      </c>
      <c r="P494" s="36"/>
      <c r="Q494" s="36" t="s">
        <v>161</v>
      </c>
      <c r="R494" s="36"/>
    </row>
    <row r="495" spans="1:18" x14ac:dyDescent="0.35">
      <c r="A495" s="105"/>
      <c r="B495" s="105"/>
      <c r="C495" s="76" t="s">
        <v>297</v>
      </c>
      <c r="D495" s="52"/>
      <c r="E495" s="53"/>
      <c r="F495" s="76"/>
      <c r="G495" s="52"/>
      <c r="H495" s="53"/>
      <c r="I495" s="2"/>
      <c r="J495" s="2"/>
      <c r="K495" s="76"/>
      <c r="L495" s="53"/>
      <c r="M495" s="61"/>
      <c r="N495" s="61"/>
      <c r="O495" s="61"/>
      <c r="P495" s="61"/>
      <c r="Q495" s="61"/>
      <c r="R495" s="61"/>
    </row>
    <row r="496" spans="1:18" x14ac:dyDescent="0.35">
      <c r="A496" s="105"/>
      <c r="B496" s="105"/>
      <c r="C496" s="60" t="s">
        <v>298</v>
      </c>
      <c r="D496" s="55"/>
      <c r="E496" s="56"/>
      <c r="F496" s="60"/>
      <c r="G496" s="55"/>
      <c r="H496" s="56"/>
      <c r="I496" s="2"/>
      <c r="J496" s="2"/>
      <c r="K496" s="60"/>
      <c r="L496" s="56"/>
      <c r="M496" s="61"/>
      <c r="N496" s="61"/>
      <c r="O496" s="61"/>
      <c r="P496" s="61"/>
      <c r="Q496" s="61"/>
      <c r="R496" s="61"/>
    </row>
    <row r="497" spans="1:18" x14ac:dyDescent="0.35">
      <c r="A497" s="105"/>
      <c r="B497" s="105"/>
      <c r="C497" s="60" t="s">
        <v>299</v>
      </c>
      <c r="D497" s="55"/>
      <c r="E497" s="56"/>
      <c r="F497" s="60"/>
      <c r="G497" s="55"/>
      <c r="H497" s="56"/>
      <c r="I497" s="2"/>
      <c r="J497" s="2"/>
      <c r="K497" s="60"/>
      <c r="L497" s="56"/>
      <c r="M497" s="61"/>
      <c r="N497" s="61"/>
      <c r="O497" s="61"/>
      <c r="P497" s="61"/>
      <c r="Q497" s="61"/>
      <c r="R497" s="61"/>
    </row>
    <row r="498" spans="1:18" x14ac:dyDescent="0.35">
      <c r="A498" s="105"/>
      <c r="B498" s="105"/>
      <c r="C498" s="60" t="s">
        <v>300</v>
      </c>
      <c r="D498" s="55"/>
      <c r="E498" s="56"/>
      <c r="F498" s="60"/>
      <c r="G498" s="55"/>
      <c r="H498" s="56"/>
      <c r="I498" s="2"/>
      <c r="J498" s="2"/>
      <c r="K498" s="60"/>
      <c r="L498" s="56"/>
      <c r="M498" s="61"/>
      <c r="N498" s="61"/>
      <c r="O498" s="61"/>
      <c r="P498" s="61"/>
      <c r="Q498" s="61"/>
      <c r="R498" s="61"/>
    </row>
    <row r="499" spans="1:18" x14ac:dyDescent="0.35">
      <c r="A499" s="105"/>
      <c r="B499" s="105"/>
      <c r="C499" s="58" t="s">
        <v>2</v>
      </c>
      <c r="D499" s="58"/>
      <c r="E499" s="58"/>
      <c r="F499" s="58"/>
      <c r="G499" s="58"/>
      <c r="H499" s="58"/>
      <c r="I499" s="6"/>
      <c r="J499" s="6"/>
      <c r="K499" s="58"/>
      <c r="L499" s="58"/>
      <c r="M499" s="58"/>
      <c r="N499" s="58"/>
      <c r="O499" s="58"/>
      <c r="P499" s="58"/>
      <c r="Q499" s="58"/>
      <c r="R499" s="58"/>
    </row>
    <row r="500" spans="1:18" x14ac:dyDescent="0.35">
      <c r="A500" s="102" t="s">
        <v>176</v>
      </c>
      <c r="B500" s="102"/>
      <c r="C500" s="26" t="s">
        <v>170</v>
      </c>
      <c r="D500" s="26"/>
      <c r="E500" s="26" t="s">
        <v>177</v>
      </c>
      <c r="F500" s="26"/>
      <c r="G500" s="26"/>
      <c r="H500" s="26"/>
      <c r="I500" s="36" t="s">
        <v>178</v>
      </c>
      <c r="J500" s="36"/>
      <c r="K500" s="26" t="s">
        <v>173</v>
      </c>
      <c r="L500" s="26"/>
      <c r="M500" s="36" t="s">
        <v>174</v>
      </c>
      <c r="N500" s="36"/>
      <c r="O500" s="36" t="s">
        <v>161</v>
      </c>
      <c r="P500" s="36"/>
      <c r="Q500" s="26"/>
      <c r="R500" s="26"/>
    </row>
    <row r="501" spans="1:18" x14ac:dyDescent="0.35">
      <c r="A501" s="102"/>
      <c r="B501" s="102"/>
      <c r="C501" s="59" t="s">
        <v>288</v>
      </c>
      <c r="D501" s="59"/>
      <c r="E501" s="59" t="s">
        <v>289</v>
      </c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</row>
    <row r="502" spans="1:18" x14ac:dyDescent="0.35">
      <c r="A502" s="102"/>
      <c r="B502" s="102"/>
      <c r="C502" s="61" t="s">
        <v>290</v>
      </c>
      <c r="D502" s="61"/>
      <c r="E502" s="61" t="s">
        <v>291</v>
      </c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</row>
    <row r="503" spans="1:18" x14ac:dyDescent="0.35">
      <c r="A503" s="102"/>
      <c r="B503" s="102"/>
      <c r="C503" s="61" t="s">
        <v>292</v>
      </c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</row>
    <row r="504" spans="1:18" x14ac:dyDescent="0.35">
      <c r="A504" s="102"/>
      <c r="B504" s="102"/>
      <c r="C504" s="60" t="s">
        <v>358</v>
      </c>
      <c r="D504" s="56"/>
      <c r="E504" s="60"/>
      <c r="F504" s="55"/>
      <c r="G504" s="55"/>
      <c r="H504" s="56"/>
      <c r="I504" s="60"/>
      <c r="J504" s="56"/>
      <c r="K504" s="60"/>
      <c r="L504" s="56"/>
      <c r="M504" s="60"/>
      <c r="N504" s="56"/>
      <c r="O504" s="60"/>
      <c r="P504" s="56"/>
      <c r="Q504" s="60"/>
      <c r="R504" s="56"/>
    </row>
    <row r="505" spans="1:18" x14ac:dyDescent="0.35">
      <c r="A505" s="102"/>
      <c r="B505" s="102"/>
      <c r="C505" s="61" t="s">
        <v>293</v>
      </c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</row>
    <row r="506" spans="1:18" x14ac:dyDescent="0.35">
      <c r="A506" s="102"/>
      <c r="B506" s="102"/>
      <c r="C506" s="58" t="s">
        <v>2</v>
      </c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</row>
    <row r="507" spans="1:18" x14ac:dyDescent="0.35">
      <c r="A507" s="100" t="s">
        <v>179</v>
      </c>
      <c r="B507" s="101"/>
      <c r="C507" s="26" t="s">
        <v>4</v>
      </c>
      <c r="D507" s="26"/>
      <c r="E507" s="26" t="s">
        <v>6</v>
      </c>
      <c r="F507" s="26"/>
      <c r="G507" s="26"/>
      <c r="H507" s="26"/>
      <c r="I507" s="26" t="s">
        <v>180</v>
      </c>
      <c r="J507" s="26"/>
      <c r="K507" s="26" t="s">
        <v>163</v>
      </c>
      <c r="L507" s="26"/>
      <c r="M507" s="36" t="s">
        <v>173</v>
      </c>
      <c r="N507" s="36"/>
      <c r="O507" s="36" t="s">
        <v>174</v>
      </c>
      <c r="P507" s="36"/>
      <c r="Q507" s="26" t="s">
        <v>161</v>
      </c>
      <c r="R507" s="26"/>
    </row>
    <row r="508" spans="1:18" x14ac:dyDescent="0.35">
      <c r="A508" s="101"/>
      <c r="B508" s="101"/>
      <c r="C508" s="59" t="s">
        <v>181</v>
      </c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76"/>
      <c r="R508" s="53"/>
    </row>
    <row r="509" spans="1:18" x14ac:dyDescent="0.35">
      <c r="A509" s="101"/>
      <c r="B509" s="101"/>
      <c r="C509" s="61" t="s">
        <v>182</v>
      </c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0"/>
      <c r="R509" s="56"/>
    </row>
    <row r="510" spans="1:18" x14ac:dyDescent="0.35">
      <c r="A510" s="101"/>
      <c r="B510" s="101"/>
      <c r="C510" s="61" t="s">
        <v>183</v>
      </c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0"/>
      <c r="R510" s="56"/>
    </row>
    <row r="511" spans="1:18" x14ac:dyDescent="0.35">
      <c r="A511" s="101"/>
      <c r="B511" s="101"/>
      <c r="C511" s="61" t="s">
        <v>184</v>
      </c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0"/>
      <c r="R511" s="56"/>
    </row>
    <row r="512" spans="1:18" x14ac:dyDescent="0.35">
      <c r="A512" s="101"/>
      <c r="B512" s="101"/>
      <c r="C512" s="61" t="s">
        <v>185</v>
      </c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0"/>
      <c r="R512" s="56"/>
    </row>
    <row r="513" spans="1:18" x14ac:dyDescent="0.35">
      <c r="A513" s="101"/>
      <c r="B513" s="101"/>
      <c r="C513" s="61" t="s">
        <v>186</v>
      </c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0"/>
      <c r="R513" s="56"/>
    </row>
    <row r="514" spans="1:18" x14ac:dyDescent="0.35">
      <c r="A514" s="101"/>
      <c r="B514" s="101"/>
      <c r="C514" s="61" t="s">
        <v>189</v>
      </c>
      <c r="D514" s="61"/>
      <c r="E514" s="60"/>
      <c r="F514" s="55"/>
      <c r="G514" s="55"/>
      <c r="H514" s="56"/>
      <c r="I514" s="60"/>
      <c r="J514" s="56"/>
      <c r="K514" s="60"/>
      <c r="L514" s="56"/>
      <c r="M514" s="60"/>
      <c r="N514" s="56"/>
      <c r="O514" s="60"/>
      <c r="P514" s="56"/>
      <c r="Q514" s="60"/>
      <c r="R514" s="56"/>
    </row>
    <row r="515" spans="1:18" x14ac:dyDescent="0.35">
      <c r="A515" s="101"/>
      <c r="B515" s="101"/>
      <c r="C515" s="61" t="s">
        <v>187</v>
      </c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77"/>
      <c r="R515" s="78"/>
    </row>
    <row r="516" spans="1:18" x14ac:dyDescent="0.35">
      <c r="A516" s="5"/>
      <c r="B516" s="5"/>
      <c r="C516" s="58" t="s">
        <v>2</v>
      </c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</row>
    <row r="517" spans="1:18" x14ac:dyDescent="0.35">
      <c r="A517" s="94" t="s">
        <v>192</v>
      </c>
      <c r="B517" s="95"/>
      <c r="C517" s="26" t="s">
        <v>4</v>
      </c>
      <c r="D517" s="26"/>
      <c r="E517" s="26" t="s">
        <v>6</v>
      </c>
      <c r="F517" s="26"/>
      <c r="G517" s="26"/>
      <c r="H517" s="26"/>
      <c r="I517" s="26" t="s">
        <v>180</v>
      </c>
      <c r="J517" s="26"/>
      <c r="K517" s="26" t="s">
        <v>193</v>
      </c>
      <c r="L517" s="26"/>
      <c r="M517" s="26" t="s">
        <v>194</v>
      </c>
      <c r="N517" s="26"/>
      <c r="O517" s="26" t="s">
        <v>174</v>
      </c>
      <c r="P517" s="26"/>
      <c r="Q517" s="26" t="s">
        <v>161</v>
      </c>
      <c r="R517" s="26"/>
    </row>
    <row r="518" spans="1:18" x14ac:dyDescent="0.35">
      <c r="A518" s="95"/>
      <c r="B518" s="95"/>
      <c r="C518" s="59" t="s">
        <v>294</v>
      </c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</row>
    <row r="519" spans="1:18" x14ac:dyDescent="0.35">
      <c r="A519" s="95"/>
      <c r="B519" s="95"/>
      <c r="C519" s="61" t="s">
        <v>295</v>
      </c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</row>
    <row r="520" spans="1:18" x14ac:dyDescent="0.35">
      <c r="A520" s="95"/>
      <c r="B520" s="95"/>
      <c r="C520" s="61" t="s">
        <v>296</v>
      </c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</row>
    <row r="521" spans="1:18" x14ac:dyDescent="0.35">
      <c r="A521" s="95"/>
      <c r="B521" s="95"/>
      <c r="C521" s="61" t="s">
        <v>354</v>
      </c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</row>
    <row r="522" spans="1:18" x14ac:dyDescent="0.35">
      <c r="A522" s="95"/>
      <c r="B522" s="95"/>
      <c r="C522" s="61" t="s">
        <v>225</v>
      </c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</row>
    <row r="523" spans="1:18" x14ac:dyDescent="0.35">
      <c r="A523" s="95"/>
      <c r="B523" s="95"/>
      <c r="C523" s="58" t="s">
        <v>2</v>
      </c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</row>
    <row r="524" spans="1:18" x14ac:dyDescent="0.35">
      <c r="A524" s="93" t="s">
        <v>42</v>
      </c>
      <c r="B524" s="93"/>
      <c r="C524" s="26" t="s">
        <v>195</v>
      </c>
      <c r="D524" s="26"/>
      <c r="E524" s="26" t="s">
        <v>6</v>
      </c>
      <c r="F524" s="26"/>
      <c r="G524" s="26"/>
      <c r="H524" s="26"/>
      <c r="I524" s="50" t="s">
        <v>194</v>
      </c>
      <c r="J524" s="50"/>
      <c r="K524" s="50"/>
      <c r="L524" s="50"/>
      <c r="M524" s="26" t="s">
        <v>174</v>
      </c>
      <c r="N524" s="26"/>
      <c r="O524" s="26" t="s">
        <v>161</v>
      </c>
      <c r="P524" s="26"/>
      <c r="Q524" s="26"/>
      <c r="R524" s="26"/>
    </row>
    <row r="525" spans="1:18" x14ac:dyDescent="0.35">
      <c r="A525" s="93"/>
      <c r="B525" s="93"/>
      <c r="C525" s="59" t="s">
        <v>196</v>
      </c>
      <c r="D525" s="59"/>
      <c r="E525" s="59"/>
      <c r="F525" s="59"/>
      <c r="G525" s="59"/>
      <c r="H525" s="59"/>
      <c r="I525" s="51">
        <v>4000</v>
      </c>
      <c r="J525" s="52"/>
      <c r="K525" s="52"/>
      <c r="L525" s="53"/>
      <c r="M525" s="85">
        <v>4000</v>
      </c>
      <c r="N525" s="59"/>
      <c r="O525" s="70">
        <f>(M525)/64000</f>
        <v>6.25E-2</v>
      </c>
      <c r="P525" s="71"/>
      <c r="Q525" s="71"/>
      <c r="R525" s="72"/>
    </row>
    <row r="526" spans="1:18" x14ac:dyDescent="0.35">
      <c r="A526" s="93"/>
      <c r="B526" s="93"/>
      <c r="C526" s="61" t="s">
        <v>250</v>
      </c>
      <c r="D526" s="61"/>
      <c r="E526" s="61"/>
      <c r="F526" s="61"/>
      <c r="G526" s="61"/>
      <c r="H526" s="61"/>
      <c r="I526" s="54">
        <v>4000</v>
      </c>
      <c r="J526" s="55"/>
      <c r="K526" s="55"/>
      <c r="L526" s="56"/>
      <c r="M526" s="88">
        <v>4000</v>
      </c>
      <c r="N526" s="61"/>
      <c r="O526" s="70">
        <f t="shared" ref="O526:O528" si="51">(M526)/64000</f>
        <v>6.25E-2</v>
      </c>
      <c r="P526" s="71"/>
      <c r="Q526" s="71"/>
      <c r="R526" s="72"/>
    </row>
    <row r="527" spans="1:18" x14ac:dyDescent="0.35">
      <c r="A527" s="93"/>
      <c r="B527" s="93"/>
      <c r="C527" s="61" t="s">
        <v>198</v>
      </c>
      <c r="D527" s="61"/>
      <c r="E527" s="61"/>
      <c r="F527" s="61"/>
      <c r="G527" s="61"/>
      <c r="H527" s="61"/>
      <c r="I527" s="54">
        <v>3500</v>
      </c>
      <c r="J527" s="55"/>
      <c r="K527" s="55"/>
      <c r="L527" s="56"/>
      <c r="M527" s="88">
        <v>3500</v>
      </c>
      <c r="N527" s="61"/>
      <c r="O527" s="70">
        <f t="shared" si="51"/>
        <v>5.46875E-2</v>
      </c>
      <c r="P527" s="71"/>
      <c r="Q527" s="71"/>
      <c r="R527" s="72"/>
    </row>
    <row r="528" spans="1:18" x14ac:dyDescent="0.35">
      <c r="A528" s="93"/>
      <c r="B528" s="93"/>
      <c r="C528" s="61" t="s">
        <v>199</v>
      </c>
      <c r="D528" s="61"/>
      <c r="E528" s="61"/>
      <c r="F528" s="61"/>
      <c r="G528" s="61"/>
      <c r="H528" s="61"/>
      <c r="I528" s="54">
        <v>2500</v>
      </c>
      <c r="J528" s="55"/>
      <c r="K528" s="55"/>
      <c r="L528" s="56"/>
      <c r="M528" s="88">
        <v>2500</v>
      </c>
      <c r="N528" s="61"/>
      <c r="O528" s="67">
        <f t="shared" si="51"/>
        <v>3.90625E-2</v>
      </c>
      <c r="P528" s="68"/>
      <c r="Q528" s="68"/>
      <c r="R528" s="69"/>
    </row>
    <row r="529" spans="1:18" x14ac:dyDescent="0.35">
      <c r="A529" s="93"/>
      <c r="B529" s="93"/>
      <c r="C529" s="58" t="s">
        <v>2</v>
      </c>
      <c r="D529" s="58"/>
      <c r="E529" s="58"/>
      <c r="F529" s="58"/>
      <c r="G529" s="58"/>
      <c r="H529" s="58"/>
      <c r="I529" s="57">
        <f>SUM(I525:L528)</f>
        <v>14000</v>
      </c>
      <c r="J529" s="58"/>
      <c r="K529" s="58"/>
      <c r="L529" s="58"/>
      <c r="M529" s="57">
        <f>SUM(M525:N528)</f>
        <v>14000</v>
      </c>
      <c r="N529" s="58"/>
      <c r="O529" s="63">
        <f>SUM(O525:R528)</f>
        <v>0.21875</v>
      </c>
      <c r="P529" s="58"/>
      <c r="Q529" s="58"/>
      <c r="R529" s="58"/>
    </row>
  </sheetData>
  <mergeCells count="2350">
    <mergeCell ref="F250:I250"/>
    <mergeCell ref="C268:E268"/>
    <mergeCell ref="C269:E269"/>
    <mergeCell ref="F265:J265"/>
    <mergeCell ref="C265:E265"/>
    <mergeCell ref="C266:E266"/>
    <mergeCell ref="F266:J266"/>
    <mergeCell ref="K266:L266"/>
    <mergeCell ref="O266:P266"/>
    <mergeCell ref="C267:E267"/>
    <mergeCell ref="F267:J267"/>
    <mergeCell ref="K267:L267"/>
    <mergeCell ref="O267:P267"/>
    <mergeCell ref="O261:P261"/>
    <mergeCell ref="C252:E252"/>
    <mergeCell ref="C253:E253"/>
    <mergeCell ref="C254:E254"/>
    <mergeCell ref="C255:E255"/>
    <mergeCell ref="C256:E256"/>
    <mergeCell ref="C257:E257"/>
    <mergeCell ref="C258:E258"/>
    <mergeCell ref="C281:E281"/>
    <mergeCell ref="C282:E282"/>
    <mergeCell ref="C283:E283"/>
    <mergeCell ref="C284:E284"/>
    <mergeCell ref="C285:E285"/>
    <mergeCell ref="C286:E286"/>
    <mergeCell ref="C287:E287"/>
    <mergeCell ref="C288:E288"/>
    <mergeCell ref="C332:E332"/>
    <mergeCell ref="C333:E333"/>
    <mergeCell ref="C334:E334"/>
    <mergeCell ref="C292:D292"/>
    <mergeCell ref="E292:H292"/>
    <mergeCell ref="E291:H291"/>
    <mergeCell ref="C330:D330"/>
    <mergeCell ref="E330:F330"/>
    <mergeCell ref="G330:H330"/>
    <mergeCell ref="F343:J343"/>
    <mergeCell ref="F344:J344"/>
    <mergeCell ref="F345:J345"/>
    <mergeCell ref="F346:J346"/>
    <mergeCell ref="F347:J347"/>
    <mergeCell ref="F348:J348"/>
    <mergeCell ref="F349:J349"/>
    <mergeCell ref="C341:E341"/>
    <mergeCell ref="C342:E342"/>
    <mergeCell ref="C343:E343"/>
    <mergeCell ref="C344:E344"/>
    <mergeCell ref="C345:E345"/>
    <mergeCell ref="F283:I283"/>
    <mergeCell ref="F284:I284"/>
    <mergeCell ref="F285:I285"/>
    <mergeCell ref="F286:I286"/>
    <mergeCell ref="F287:I287"/>
    <mergeCell ref="F288:I288"/>
    <mergeCell ref="I330:J330"/>
    <mergeCell ref="I289:L289"/>
    <mergeCell ref="I290:L290"/>
    <mergeCell ref="I291:L291"/>
    <mergeCell ref="I292:L292"/>
    <mergeCell ref="I293:L293"/>
    <mergeCell ref="I294:L294"/>
    <mergeCell ref="C335:E335"/>
    <mergeCell ref="C336:E336"/>
    <mergeCell ref="C337:E337"/>
    <mergeCell ref="C338:E338"/>
    <mergeCell ref="C339:E339"/>
    <mergeCell ref="C340:E340"/>
    <mergeCell ref="F332:I332"/>
    <mergeCell ref="F333:I333"/>
    <mergeCell ref="F334:I334"/>
    <mergeCell ref="F335:I335"/>
    <mergeCell ref="F336:I336"/>
    <mergeCell ref="F337:I337"/>
    <mergeCell ref="F338:I338"/>
    <mergeCell ref="F339:I339"/>
    <mergeCell ref="F340:I340"/>
    <mergeCell ref="F341:J341"/>
    <mergeCell ref="F342:J342"/>
    <mergeCell ref="F363:I363"/>
    <mergeCell ref="F364:I364"/>
    <mergeCell ref="F365:I365"/>
    <mergeCell ref="F366:I366"/>
    <mergeCell ref="F367:I367"/>
    <mergeCell ref="F368:I368"/>
    <mergeCell ref="F369:I369"/>
    <mergeCell ref="E419:F419"/>
    <mergeCell ref="G419:H419"/>
    <mergeCell ref="I419:J419"/>
    <mergeCell ref="C357:D357"/>
    <mergeCell ref="C352:D352"/>
    <mergeCell ref="E352:H352"/>
    <mergeCell ref="I352:J352"/>
    <mergeCell ref="E357:H357"/>
    <mergeCell ref="C354:D354"/>
    <mergeCell ref="E354:H354"/>
    <mergeCell ref="I354:J354"/>
    <mergeCell ref="C360:E360"/>
    <mergeCell ref="C361:E361"/>
    <mergeCell ref="C358:D358"/>
    <mergeCell ref="E358:H358"/>
    <mergeCell ref="I358:J358"/>
    <mergeCell ref="C439:D439"/>
    <mergeCell ref="E439:H439"/>
    <mergeCell ref="I439:J439"/>
    <mergeCell ref="L426:M426"/>
    <mergeCell ref="L427:M427"/>
    <mergeCell ref="L428:M428"/>
    <mergeCell ref="L429:M429"/>
    <mergeCell ref="L430:M430"/>
    <mergeCell ref="G422:K422"/>
    <mergeCell ref="G423:K423"/>
    <mergeCell ref="G424:K424"/>
    <mergeCell ref="G425:K425"/>
    <mergeCell ref="G426:K426"/>
    <mergeCell ref="G427:K427"/>
    <mergeCell ref="G428:K428"/>
    <mergeCell ref="G429:K429"/>
    <mergeCell ref="G430:K430"/>
    <mergeCell ref="C496:E496"/>
    <mergeCell ref="C497:E497"/>
    <mergeCell ref="C498:E498"/>
    <mergeCell ref="C499:E499"/>
    <mergeCell ref="C441:E441"/>
    <mergeCell ref="C442:E442"/>
    <mergeCell ref="C443:E443"/>
    <mergeCell ref="C444:E444"/>
    <mergeCell ref="C445:E445"/>
    <mergeCell ref="C446:E446"/>
    <mergeCell ref="C447:E447"/>
    <mergeCell ref="C448:E448"/>
    <mergeCell ref="C449:E449"/>
    <mergeCell ref="C450:E450"/>
    <mergeCell ref="K495:L495"/>
    <mergeCell ref="K496:L496"/>
    <mergeCell ref="K497:L497"/>
    <mergeCell ref="K498:L498"/>
    <mergeCell ref="K499:L499"/>
    <mergeCell ref="F494:H494"/>
    <mergeCell ref="F495:H495"/>
    <mergeCell ref="F496:H496"/>
    <mergeCell ref="F497:H497"/>
    <mergeCell ref="F498:H498"/>
    <mergeCell ref="F499:H499"/>
    <mergeCell ref="C454:D454"/>
    <mergeCell ref="E454:H454"/>
    <mergeCell ref="E488:F488"/>
    <mergeCell ref="G488:H488"/>
    <mergeCell ref="I488:J488"/>
    <mergeCell ref="F443:I443"/>
    <mergeCell ref="F444:I444"/>
    <mergeCell ref="K171:L171"/>
    <mergeCell ref="K172:L172"/>
    <mergeCell ref="K173:L173"/>
    <mergeCell ref="K174:L174"/>
    <mergeCell ref="K175:L175"/>
    <mergeCell ref="K176:L176"/>
    <mergeCell ref="E168:H168"/>
    <mergeCell ref="E169:H169"/>
    <mergeCell ref="E170:H170"/>
    <mergeCell ref="E171:H171"/>
    <mergeCell ref="E172:H172"/>
    <mergeCell ref="E173:H173"/>
    <mergeCell ref="E174:H174"/>
    <mergeCell ref="E175:H175"/>
    <mergeCell ref="E176:H176"/>
    <mergeCell ref="C494:E494"/>
    <mergeCell ref="C495:E495"/>
    <mergeCell ref="F445:I445"/>
    <mergeCell ref="F446:I446"/>
    <mergeCell ref="F447:I447"/>
    <mergeCell ref="F448:I448"/>
    <mergeCell ref="F449:I449"/>
    <mergeCell ref="F450:I450"/>
    <mergeCell ref="C422:F422"/>
    <mergeCell ref="C423:F423"/>
    <mergeCell ref="C424:F424"/>
    <mergeCell ref="C425:F425"/>
    <mergeCell ref="C426:F426"/>
    <mergeCell ref="C427:F427"/>
    <mergeCell ref="C428:F428"/>
    <mergeCell ref="C429:F429"/>
    <mergeCell ref="C430:F430"/>
    <mergeCell ref="A1:R3"/>
    <mergeCell ref="A4:R5"/>
    <mergeCell ref="I211:L211"/>
    <mergeCell ref="C249:D249"/>
    <mergeCell ref="E249:F249"/>
    <mergeCell ref="G249:H249"/>
    <mergeCell ref="I249:J249"/>
    <mergeCell ref="K249:L249"/>
    <mergeCell ref="M249:N249"/>
    <mergeCell ref="O249:P249"/>
    <mergeCell ref="Q249:R249"/>
    <mergeCell ref="E117:H117"/>
    <mergeCell ref="I117:J117"/>
    <mergeCell ref="K117:L117"/>
    <mergeCell ref="M117:N117"/>
    <mergeCell ref="O117:P117"/>
    <mergeCell ref="Q109:R109"/>
    <mergeCell ref="Q110:R110"/>
    <mergeCell ref="Q111:R111"/>
    <mergeCell ref="Q112:R112"/>
    <mergeCell ref="Q113:R113"/>
    <mergeCell ref="Q114:R114"/>
    <mergeCell ref="Q115:R115"/>
    <mergeCell ref="Q116:R116"/>
    <mergeCell ref="C195:D195"/>
    <mergeCell ref="E195:H195"/>
    <mergeCell ref="I195:J195"/>
    <mergeCell ref="K195:L195"/>
    <mergeCell ref="M195:N195"/>
    <mergeCell ref="O195:P195"/>
    <mergeCell ref="Q187:R187"/>
    <mergeCell ref="Q188:R188"/>
    <mergeCell ref="Q189:R189"/>
    <mergeCell ref="Q190:R190"/>
    <mergeCell ref="Q191:R191"/>
    <mergeCell ref="Q192:R192"/>
    <mergeCell ref="Q193:R193"/>
    <mergeCell ref="Q194:R194"/>
    <mergeCell ref="Q195:R195"/>
    <mergeCell ref="C26:D26"/>
    <mergeCell ref="E24:H24"/>
    <mergeCell ref="E25:H25"/>
    <mergeCell ref="E26:H26"/>
    <mergeCell ref="I31:J31"/>
    <mergeCell ref="O30:P30"/>
    <mergeCell ref="O31:P31"/>
    <mergeCell ref="M27:N27"/>
    <mergeCell ref="M28:N28"/>
    <mergeCell ref="M29:N29"/>
    <mergeCell ref="M30:N30"/>
    <mergeCell ref="M31:N31"/>
    <mergeCell ref="I30:J30"/>
    <mergeCell ref="E34:H34"/>
    <mergeCell ref="E35:H35"/>
    <mergeCell ref="Q25:R25"/>
    <mergeCell ref="Q26:R26"/>
    <mergeCell ref="M40:N40"/>
    <mergeCell ref="O40:P40"/>
    <mergeCell ref="M32:N32"/>
    <mergeCell ref="C38:D38"/>
    <mergeCell ref="O33:P33"/>
    <mergeCell ref="Q29:R29"/>
    <mergeCell ref="Q30:R30"/>
    <mergeCell ref="Q31:R31"/>
    <mergeCell ref="K41:L41"/>
    <mergeCell ref="M41:N41"/>
    <mergeCell ref="O41:P41"/>
    <mergeCell ref="Q41:R41"/>
    <mergeCell ref="Q34:R34"/>
    <mergeCell ref="Q35:R35"/>
    <mergeCell ref="Q36:R36"/>
    <mergeCell ref="Q37:R37"/>
    <mergeCell ref="Q38:R38"/>
    <mergeCell ref="Q39:R39"/>
    <mergeCell ref="Q40:R40"/>
    <mergeCell ref="K23:L23"/>
    <mergeCell ref="E21:H21"/>
    <mergeCell ref="O24:P24"/>
    <mergeCell ref="O25:P25"/>
    <mergeCell ref="C24:D24"/>
    <mergeCell ref="C22:D22"/>
    <mergeCell ref="C23:D23"/>
    <mergeCell ref="O18:P18"/>
    <mergeCell ref="C18:D18"/>
    <mergeCell ref="E12:F12"/>
    <mergeCell ref="E17:F17"/>
    <mergeCell ref="E18:F18"/>
    <mergeCell ref="M13:N13"/>
    <mergeCell ref="M14:N14"/>
    <mergeCell ref="M15:N15"/>
    <mergeCell ref="K17:L17"/>
    <mergeCell ref="K18:L18"/>
    <mergeCell ref="G17:H17"/>
    <mergeCell ref="G18:H18"/>
    <mergeCell ref="M17:N17"/>
    <mergeCell ref="M18:N18"/>
    <mergeCell ref="M16:N16"/>
    <mergeCell ref="A12:B18"/>
    <mergeCell ref="Q18:R18"/>
    <mergeCell ref="Q16:R16"/>
    <mergeCell ref="G15:H15"/>
    <mergeCell ref="G16:H16"/>
    <mergeCell ref="O13:P13"/>
    <mergeCell ref="O14:P14"/>
    <mergeCell ref="O15:P15"/>
    <mergeCell ref="O16:P16"/>
    <mergeCell ref="I13:J13"/>
    <mergeCell ref="I14:J14"/>
    <mergeCell ref="I15:J15"/>
    <mergeCell ref="I16:J16"/>
    <mergeCell ref="O17:P17"/>
    <mergeCell ref="Q17:R17"/>
    <mergeCell ref="C17:D17"/>
    <mergeCell ref="A11:B11"/>
    <mergeCell ref="C11:D11"/>
    <mergeCell ref="E11:F11"/>
    <mergeCell ref="G11:H11"/>
    <mergeCell ref="I11:J11"/>
    <mergeCell ref="K11:L11"/>
    <mergeCell ref="M11:N11"/>
    <mergeCell ref="C15:D15"/>
    <mergeCell ref="C16:D16"/>
    <mergeCell ref="K13:L13"/>
    <mergeCell ref="K14:L14"/>
    <mergeCell ref="K15:L15"/>
    <mergeCell ref="K16:L16"/>
    <mergeCell ref="K24:L24"/>
    <mergeCell ref="K25:L25"/>
    <mergeCell ref="K26:L26"/>
    <mergeCell ref="M25:N25"/>
    <mergeCell ref="M26:N26"/>
    <mergeCell ref="M21:N21"/>
    <mergeCell ref="M22:N22"/>
    <mergeCell ref="M23:N23"/>
    <mergeCell ref="M24:N24"/>
    <mergeCell ref="I17:J17"/>
    <mergeCell ref="I18:J18"/>
    <mergeCell ref="E19:H19"/>
    <mergeCell ref="E20:H20"/>
    <mergeCell ref="E22:H22"/>
    <mergeCell ref="E23:H23"/>
    <mergeCell ref="K20:L20"/>
    <mergeCell ref="C25:D25"/>
    <mergeCell ref="M19:N19"/>
    <mergeCell ref="M20:N20"/>
    <mergeCell ref="Q11:R11"/>
    <mergeCell ref="C12:D12"/>
    <mergeCell ref="C13:D13"/>
    <mergeCell ref="C14:D14"/>
    <mergeCell ref="G12:H12"/>
    <mergeCell ref="I12:J12"/>
    <mergeCell ref="K12:L12"/>
    <mergeCell ref="M12:N12"/>
    <mergeCell ref="O12:P12"/>
    <mergeCell ref="Q12:R12"/>
    <mergeCell ref="E13:F13"/>
    <mergeCell ref="E14:F14"/>
    <mergeCell ref="E15:F15"/>
    <mergeCell ref="E16:F16"/>
    <mergeCell ref="G13:H13"/>
    <mergeCell ref="G14:H14"/>
    <mergeCell ref="Q13:R13"/>
    <mergeCell ref="Q14:R14"/>
    <mergeCell ref="Q15:R15"/>
    <mergeCell ref="O11:P11"/>
    <mergeCell ref="O27:P27"/>
    <mergeCell ref="O28:P28"/>
    <mergeCell ref="O29:P29"/>
    <mergeCell ref="K29:L29"/>
    <mergeCell ref="K30:L30"/>
    <mergeCell ref="K31:L31"/>
    <mergeCell ref="I27:J27"/>
    <mergeCell ref="I28:J28"/>
    <mergeCell ref="I29:J29"/>
    <mergeCell ref="Q28:R28"/>
    <mergeCell ref="K28:L28"/>
    <mergeCell ref="Q27:R27"/>
    <mergeCell ref="Q21:R21"/>
    <mergeCell ref="Q22:R22"/>
    <mergeCell ref="Q23:R23"/>
    <mergeCell ref="Q24:R24"/>
    <mergeCell ref="K19:L19"/>
    <mergeCell ref="O19:P19"/>
    <mergeCell ref="O20:P20"/>
    <mergeCell ref="O21:P21"/>
    <mergeCell ref="O22:P22"/>
    <mergeCell ref="O23:P23"/>
    <mergeCell ref="Q19:R19"/>
    <mergeCell ref="Q20:R20"/>
    <mergeCell ref="O32:P32"/>
    <mergeCell ref="A6:R7"/>
    <mergeCell ref="A8:R8"/>
    <mergeCell ref="A9:R9"/>
    <mergeCell ref="O39:P39"/>
    <mergeCell ref="K27:L27"/>
    <mergeCell ref="A10:R10"/>
    <mergeCell ref="Q33:R33"/>
    <mergeCell ref="M36:N36"/>
    <mergeCell ref="M37:N37"/>
    <mergeCell ref="M38:N38"/>
    <mergeCell ref="M39:N39"/>
    <mergeCell ref="E32:H32"/>
    <mergeCell ref="A33:B40"/>
    <mergeCell ref="C33:D33"/>
    <mergeCell ref="C34:D34"/>
    <mergeCell ref="C35:D35"/>
    <mergeCell ref="C36:D36"/>
    <mergeCell ref="C37:D37"/>
    <mergeCell ref="O26:P26"/>
    <mergeCell ref="Q32:R32"/>
    <mergeCell ref="E27:H27"/>
    <mergeCell ref="E28:H28"/>
    <mergeCell ref="E29:H29"/>
    <mergeCell ref="E30:H30"/>
    <mergeCell ref="E31:H31"/>
    <mergeCell ref="K21:L21"/>
    <mergeCell ref="A27:B32"/>
    <mergeCell ref="C27:D27"/>
    <mergeCell ref="C28:D28"/>
    <mergeCell ref="C29:D29"/>
    <mergeCell ref="C30:D30"/>
    <mergeCell ref="C31:D31"/>
    <mergeCell ref="C32:D32"/>
    <mergeCell ref="E39:H39"/>
    <mergeCell ref="I40:J40"/>
    <mergeCell ref="K40:L40"/>
    <mergeCell ref="A19:B26"/>
    <mergeCell ref="C19:D19"/>
    <mergeCell ref="C20:D20"/>
    <mergeCell ref="C21:D21"/>
    <mergeCell ref="E36:H36"/>
    <mergeCell ref="E37:H37"/>
    <mergeCell ref="K22:L22"/>
    <mergeCell ref="O34:P34"/>
    <mergeCell ref="O35:P35"/>
    <mergeCell ref="O36:P36"/>
    <mergeCell ref="O37:P37"/>
    <mergeCell ref="O38:P38"/>
    <mergeCell ref="M33:N33"/>
    <mergeCell ref="M34:N34"/>
    <mergeCell ref="M35:N35"/>
    <mergeCell ref="K33:L33"/>
    <mergeCell ref="K34:L34"/>
    <mergeCell ref="K35:L35"/>
    <mergeCell ref="K36:L36"/>
    <mergeCell ref="K37:L37"/>
    <mergeCell ref="K38:L38"/>
    <mergeCell ref="C39:D39"/>
    <mergeCell ref="I33:J33"/>
    <mergeCell ref="I34:J34"/>
    <mergeCell ref="I35:J35"/>
    <mergeCell ref="I36:J36"/>
    <mergeCell ref="I37:J37"/>
    <mergeCell ref="I39:J39"/>
    <mergeCell ref="E33:H33"/>
    <mergeCell ref="A42:B48"/>
    <mergeCell ref="I32:J32"/>
    <mergeCell ref="K32:L32"/>
    <mergeCell ref="E45:H45"/>
    <mergeCell ref="E46:H46"/>
    <mergeCell ref="E47:H47"/>
    <mergeCell ref="E48:H48"/>
    <mergeCell ref="C48:D48"/>
    <mergeCell ref="C42:D42"/>
    <mergeCell ref="C43:D43"/>
    <mergeCell ref="C44:D44"/>
    <mergeCell ref="C45:D45"/>
    <mergeCell ref="C46:D46"/>
    <mergeCell ref="C47:D47"/>
    <mergeCell ref="K39:L39"/>
    <mergeCell ref="K47:L47"/>
    <mergeCell ref="I43:J43"/>
    <mergeCell ref="I44:J44"/>
    <mergeCell ref="I45:J45"/>
    <mergeCell ref="I46:J46"/>
    <mergeCell ref="I47:J47"/>
    <mergeCell ref="I48:J48"/>
    <mergeCell ref="I42:J42"/>
    <mergeCell ref="K43:L43"/>
    <mergeCell ref="K44:L44"/>
    <mergeCell ref="K45:L45"/>
    <mergeCell ref="K46:L46"/>
    <mergeCell ref="C41:D41"/>
    <mergeCell ref="E41:H41"/>
    <mergeCell ref="I41:J41"/>
    <mergeCell ref="E42:H42"/>
    <mergeCell ref="E43:H43"/>
    <mergeCell ref="E44:H44"/>
    <mergeCell ref="E40:H40"/>
    <mergeCell ref="E38:H38"/>
    <mergeCell ref="C40:D40"/>
    <mergeCell ref="C53:D53"/>
    <mergeCell ref="C54:D54"/>
    <mergeCell ref="O48:P48"/>
    <mergeCell ref="Q42:R42"/>
    <mergeCell ref="Q43:R43"/>
    <mergeCell ref="Q44:R44"/>
    <mergeCell ref="Q45:R45"/>
    <mergeCell ref="Q46:R46"/>
    <mergeCell ref="Q47:R47"/>
    <mergeCell ref="Q48:R48"/>
    <mergeCell ref="O42:P42"/>
    <mergeCell ref="O43:P43"/>
    <mergeCell ref="O44:P44"/>
    <mergeCell ref="O45:P45"/>
    <mergeCell ref="O46:P46"/>
    <mergeCell ref="O47:P47"/>
    <mergeCell ref="K48:L48"/>
    <mergeCell ref="M42:N42"/>
    <mergeCell ref="M43:N43"/>
    <mergeCell ref="M44:N44"/>
    <mergeCell ref="M45:N45"/>
    <mergeCell ref="M46:N46"/>
    <mergeCell ref="M47:N47"/>
    <mergeCell ref="M48:N48"/>
    <mergeCell ref="K42:L42"/>
    <mergeCell ref="I38:J38"/>
    <mergeCell ref="A82:R82"/>
    <mergeCell ref="A83:B83"/>
    <mergeCell ref="C83:D83"/>
    <mergeCell ref="E83:F83"/>
    <mergeCell ref="G83:H83"/>
    <mergeCell ref="I83:J83"/>
    <mergeCell ref="K83:L83"/>
    <mergeCell ref="M83:N83"/>
    <mergeCell ref="O83:P83"/>
    <mergeCell ref="Q83:R83"/>
    <mergeCell ref="A78:R79"/>
    <mergeCell ref="M49:N49"/>
    <mergeCell ref="M50:N50"/>
    <mergeCell ref="M51:N51"/>
    <mergeCell ref="M52:N52"/>
    <mergeCell ref="M53:N53"/>
    <mergeCell ref="M54:N54"/>
    <mergeCell ref="E49:H49"/>
    <mergeCell ref="E50:H50"/>
    <mergeCell ref="E51:H51"/>
    <mergeCell ref="E52:H52"/>
    <mergeCell ref="E53:H53"/>
    <mergeCell ref="E54:H54"/>
    <mergeCell ref="I49:L49"/>
    <mergeCell ref="I50:L50"/>
    <mergeCell ref="A49:B54"/>
    <mergeCell ref="C49:D49"/>
    <mergeCell ref="C50:D50"/>
    <mergeCell ref="C51:D51"/>
    <mergeCell ref="C52:D52"/>
    <mergeCell ref="A84:B91"/>
    <mergeCell ref="C84:D84"/>
    <mergeCell ref="E84:F84"/>
    <mergeCell ref="G84:H84"/>
    <mergeCell ref="I84:J84"/>
    <mergeCell ref="K84:L84"/>
    <mergeCell ref="M84:N84"/>
    <mergeCell ref="O84:P84"/>
    <mergeCell ref="Q84:R84"/>
    <mergeCell ref="C85:D85"/>
    <mergeCell ref="E85:F85"/>
    <mergeCell ref="G85:H85"/>
    <mergeCell ref="I85:J85"/>
    <mergeCell ref="K85:L85"/>
    <mergeCell ref="M85:N85"/>
    <mergeCell ref="O85:P85"/>
    <mergeCell ref="Q85:R85"/>
    <mergeCell ref="C86:D86"/>
    <mergeCell ref="E86:F86"/>
    <mergeCell ref="G86:H86"/>
    <mergeCell ref="I86:J86"/>
    <mergeCell ref="K86:L86"/>
    <mergeCell ref="M86:N86"/>
    <mergeCell ref="O86:P86"/>
    <mergeCell ref="C88:D88"/>
    <mergeCell ref="E88:F88"/>
    <mergeCell ref="G88:H88"/>
    <mergeCell ref="I88:J88"/>
    <mergeCell ref="K88:L88"/>
    <mergeCell ref="M88:N88"/>
    <mergeCell ref="O88:P88"/>
    <mergeCell ref="Q88:R88"/>
    <mergeCell ref="C89:D89"/>
    <mergeCell ref="E89:F89"/>
    <mergeCell ref="G89:H89"/>
    <mergeCell ref="I89:J89"/>
    <mergeCell ref="K89:L89"/>
    <mergeCell ref="M89:N89"/>
    <mergeCell ref="O89:P89"/>
    <mergeCell ref="Q89:R89"/>
    <mergeCell ref="Q86:R86"/>
    <mergeCell ref="C87:D87"/>
    <mergeCell ref="E87:F87"/>
    <mergeCell ref="G87:H87"/>
    <mergeCell ref="I87:J87"/>
    <mergeCell ref="K87:L87"/>
    <mergeCell ref="M87:N87"/>
    <mergeCell ref="O87:P87"/>
    <mergeCell ref="Q87:R87"/>
    <mergeCell ref="C97:E97"/>
    <mergeCell ref="C98:E98"/>
    <mergeCell ref="C90:D90"/>
    <mergeCell ref="E90:F90"/>
    <mergeCell ref="G90:H90"/>
    <mergeCell ref="I90:J90"/>
    <mergeCell ref="K90:L90"/>
    <mergeCell ref="M90:N90"/>
    <mergeCell ref="O90:P90"/>
    <mergeCell ref="Q90:R90"/>
    <mergeCell ref="C91:D91"/>
    <mergeCell ref="E91:F91"/>
    <mergeCell ref="G91:H91"/>
    <mergeCell ref="I91:J91"/>
    <mergeCell ref="K91:L91"/>
    <mergeCell ref="M91:N91"/>
    <mergeCell ref="O91:P91"/>
    <mergeCell ref="Q91:R91"/>
    <mergeCell ref="C102:D102"/>
    <mergeCell ref="E102:H102"/>
    <mergeCell ref="C104:D104"/>
    <mergeCell ref="E104:H104"/>
    <mergeCell ref="I104:J104"/>
    <mergeCell ref="O95:P95"/>
    <mergeCell ref="Q95:R95"/>
    <mergeCell ref="O96:P96"/>
    <mergeCell ref="Q96:R96"/>
    <mergeCell ref="A92:B98"/>
    <mergeCell ref="O92:P92"/>
    <mergeCell ref="Q92:R92"/>
    <mergeCell ref="O93:P93"/>
    <mergeCell ref="Q93:R93"/>
    <mergeCell ref="O94:P94"/>
    <mergeCell ref="Q94:R94"/>
    <mergeCell ref="O97:P97"/>
    <mergeCell ref="Q97:R97"/>
    <mergeCell ref="F92:J92"/>
    <mergeCell ref="F93:J93"/>
    <mergeCell ref="F94:J94"/>
    <mergeCell ref="F95:J95"/>
    <mergeCell ref="F96:J96"/>
    <mergeCell ref="O98:P98"/>
    <mergeCell ref="Q98:R98"/>
    <mergeCell ref="F97:J97"/>
    <mergeCell ref="F98:J98"/>
    <mergeCell ref="C92:E92"/>
    <mergeCell ref="C93:E93"/>
    <mergeCell ref="C94:E94"/>
    <mergeCell ref="C95:E95"/>
    <mergeCell ref="C96:E96"/>
    <mergeCell ref="C103:D103"/>
    <mergeCell ref="E103:H103"/>
    <mergeCell ref="I103:J103"/>
    <mergeCell ref="K103:L103"/>
    <mergeCell ref="M103:N103"/>
    <mergeCell ref="O103:P103"/>
    <mergeCell ref="Q103:R103"/>
    <mergeCell ref="A99:B107"/>
    <mergeCell ref="C99:D99"/>
    <mergeCell ref="E99:H99"/>
    <mergeCell ref="I99:J99"/>
    <mergeCell ref="K99:L99"/>
    <mergeCell ref="M99:N99"/>
    <mergeCell ref="O99:P99"/>
    <mergeCell ref="Q99:R99"/>
    <mergeCell ref="C100:D100"/>
    <mergeCell ref="E100:H100"/>
    <mergeCell ref="I100:J100"/>
    <mergeCell ref="K100:L100"/>
    <mergeCell ref="M100:N100"/>
    <mergeCell ref="O100:P100"/>
    <mergeCell ref="Q100:R100"/>
    <mergeCell ref="C101:D101"/>
    <mergeCell ref="E101:H101"/>
    <mergeCell ref="I101:J101"/>
    <mergeCell ref="K101:L101"/>
    <mergeCell ref="M101:N101"/>
    <mergeCell ref="C106:D106"/>
    <mergeCell ref="E106:H106"/>
    <mergeCell ref="I106:J106"/>
    <mergeCell ref="K106:L106"/>
    <mergeCell ref="M106:N106"/>
    <mergeCell ref="C107:D107"/>
    <mergeCell ref="E107:H107"/>
    <mergeCell ref="I107:J107"/>
    <mergeCell ref="K107:L107"/>
    <mergeCell ref="M107:N107"/>
    <mergeCell ref="O107:P107"/>
    <mergeCell ref="Q107:R107"/>
    <mergeCell ref="C112:D112"/>
    <mergeCell ref="E112:H112"/>
    <mergeCell ref="I112:J112"/>
    <mergeCell ref="K112:L112"/>
    <mergeCell ref="M112:N112"/>
    <mergeCell ref="O112:P112"/>
    <mergeCell ref="K104:L104"/>
    <mergeCell ref="M104:N104"/>
    <mergeCell ref="O104:P104"/>
    <mergeCell ref="Q104:R104"/>
    <mergeCell ref="C105:D105"/>
    <mergeCell ref="E105:H105"/>
    <mergeCell ref="I105:J105"/>
    <mergeCell ref="K105:L105"/>
    <mergeCell ref="M105:N105"/>
    <mergeCell ref="O105:P105"/>
    <mergeCell ref="Q105:R105"/>
    <mergeCell ref="C113:D113"/>
    <mergeCell ref="E113:H113"/>
    <mergeCell ref="I113:J113"/>
    <mergeCell ref="K113:L113"/>
    <mergeCell ref="M113:N113"/>
    <mergeCell ref="O113:P113"/>
    <mergeCell ref="Q108:R108"/>
    <mergeCell ref="A108:B116"/>
    <mergeCell ref="C108:D108"/>
    <mergeCell ref="E108:H108"/>
    <mergeCell ref="I108:J108"/>
    <mergeCell ref="K108:L108"/>
    <mergeCell ref="M108:N108"/>
    <mergeCell ref="O108:P108"/>
    <mergeCell ref="C109:D109"/>
    <mergeCell ref="E109:H109"/>
    <mergeCell ref="I109:J109"/>
    <mergeCell ref="K109:L109"/>
    <mergeCell ref="M109:N109"/>
    <mergeCell ref="O109:P109"/>
    <mergeCell ref="C110:D110"/>
    <mergeCell ref="E110:H110"/>
    <mergeCell ref="I110:J110"/>
    <mergeCell ref="K110:L110"/>
    <mergeCell ref="M110:N110"/>
    <mergeCell ref="O110:P110"/>
    <mergeCell ref="C111:D111"/>
    <mergeCell ref="E111:H111"/>
    <mergeCell ref="I111:J111"/>
    <mergeCell ref="K111:L111"/>
    <mergeCell ref="C114:D114"/>
    <mergeCell ref="E114:H114"/>
    <mergeCell ref="C115:D115"/>
    <mergeCell ref="E115:H115"/>
    <mergeCell ref="A118:B124"/>
    <mergeCell ref="K118:L118"/>
    <mergeCell ref="M118:N118"/>
    <mergeCell ref="O118:P118"/>
    <mergeCell ref="K121:L121"/>
    <mergeCell ref="M121:N121"/>
    <mergeCell ref="O121:P121"/>
    <mergeCell ref="K119:L119"/>
    <mergeCell ref="M119:N119"/>
    <mergeCell ref="O119:P119"/>
    <mergeCell ref="K123:L123"/>
    <mergeCell ref="M123:N123"/>
    <mergeCell ref="O123:P123"/>
    <mergeCell ref="K120:L120"/>
    <mergeCell ref="M120:N120"/>
    <mergeCell ref="O120:P120"/>
    <mergeCell ref="C122:E122"/>
    <mergeCell ref="C123:E123"/>
    <mergeCell ref="C124:E124"/>
    <mergeCell ref="F118:I118"/>
    <mergeCell ref="F119:I119"/>
    <mergeCell ref="F120:I120"/>
    <mergeCell ref="F121:I121"/>
    <mergeCell ref="C118:E118"/>
    <mergeCell ref="C119:E119"/>
    <mergeCell ref="C120:E120"/>
    <mergeCell ref="C121:E121"/>
    <mergeCell ref="C128:D128"/>
    <mergeCell ref="E128:H128"/>
    <mergeCell ref="K124:L124"/>
    <mergeCell ref="M124:N124"/>
    <mergeCell ref="O124:P124"/>
    <mergeCell ref="Q124:R124"/>
    <mergeCell ref="O125:R125"/>
    <mergeCell ref="O126:R126"/>
    <mergeCell ref="O127:R127"/>
    <mergeCell ref="O128:R128"/>
    <mergeCell ref="F124:I124"/>
    <mergeCell ref="Q120:R120"/>
    <mergeCell ref="C116:D116"/>
    <mergeCell ref="E116:H116"/>
    <mergeCell ref="I116:J116"/>
    <mergeCell ref="K116:L116"/>
    <mergeCell ref="M116:N116"/>
    <mergeCell ref="O116:P116"/>
    <mergeCell ref="Q121:R121"/>
    <mergeCell ref="K122:L122"/>
    <mergeCell ref="M122:N122"/>
    <mergeCell ref="O122:P122"/>
    <mergeCell ref="Q122:R122"/>
    <mergeCell ref="C117:D117"/>
    <mergeCell ref="F122:I122"/>
    <mergeCell ref="F123:I123"/>
    <mergeCell ref="Q123:R123"/>
    <mergeCell ref="Q119:R119"/>
    <mergeCell ref="Q117:R117"/>
    <mergeCell ref="O162:P162"/>
    <mergeCell ref="A157:R157"/>
    <mergeCell ref="A158:R158"/>
    <mergeCell ref="A159:B159"/>
    <mergeCell ref="C159:D159"/>
    <mergeCell ref="E159:F159"/>
    <mergeCell ref="G159:H159"/>
    <mergeCell ref="I159:J159"/>
    <mergeCell ref="K159:L159"/>
    <mergeCell ref="M159:N159"/>
    <mergeCell ref="O159:P159"/>
    <mergeCell ref="Q159:R159"/>
    <mergeCell ref="A154:R155"/>
    <mergeCell ref="A156:R156"/>
    <mergeCell ref="A125:B130"/>
    <mergeCell ref="C125:D125"/>
    <mergeCell ref="E125:H125"/>
    <mergeCell ref="M125:N125"/>
    <mergeCell ref="C126:D126"/>
    <mergeCell ref="E126:H126"/>
    <mergeCell ref="C130:D130"/>
    <mergeCell ref="E130:H130"/>
    <mergeCell ref="M130:N130"/>
    <mergeCell ref="M128:N128"/>
    <mergeCell ref="C129:D129"/>
    <mergeCell ref="E129:H129"/>
    <mergeCell ref="M129:N129"/>
    <mergeCell ref="I128:L128"/>
    <mergeCell ref="I129:L129"/>
    <mergeCell ref="Q162:R162"/>
    <mergeCell ref="C127:D127"/>
    <mergeCell ref="E127:H127"/>
    <mergeCell ref="C163:D163"/>
    <mergeCell ref="E163:F163"/>
    <mergeCell ref="G163:H163"/>
    <mergeCell ref="I163:J163"/>
    <mergeCell ref="K163:L163"/>
    <mergeCell ref="M163:N163"/>
    <mergeCell ref="O163:P163"/>
    <mergeCell ref="Q163:R163"/>
    <mergeCell ref="A160:B167"/>
    <mergeCell ref="C160:D160"/>
    <mergeCell ref="E160:F160"/>
    <mergeCell ref="G160:H160"/>
    <mergeCell ref="I160:J160"/>
    <mergeCell ref="K160:L160"/>
    <mergeCell ref="M160:N160"/>
    <mergeCell ref="O160:P160"/>
    <mergeCell ref="Q160:R160"/>
    <mergeCell ref="C161:D161"/>
    <mergeCell ref="E161:F161"/>
    <mergeCell ref="G161:H161"/>
    <mergeCell ref="I161:J161"/>
    <mergeCell ref="K161:L161"/>
    <mergeCell ref="M161:N161"/>
    <mergeCell ref="O161:P161"/>
    <mergeCell ref="Q161:R161"/>
    <mergeCell ref="C162:D162"/>
    <mergeCell ref="E162:F162"/>
    <mergeCell ref="G162:H162"/>
    <mergeCell ref="I162:J162"/>
    <mergeCell ref="K162:L162"/>
    <mergeCell ref="M162:N162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C167:D167"/>
    <mergeCell ref="E167:F167"/>
    <mergeCell ref="G167:H167"/>
    <mergeCell ref="I167:J167"/>
    <mergeCell ref="K167:L167"/>
    <mergeCell ref="M167:N167"/>
    <mergeCell ref="O167:P167"/>
    <mergeCell ref="Q167:R167"/>
    <mergeCell ref="C164:D164"/>
    <mergeCell ref="E164:F164"/>
    <mergeCell ref="G164:H164"/>
    <mergeCell ref="I164:J164"/>
    <mergeCell ref="K164:L164"/>
    <mergeCell ref="M164:N164"/>
    <mergeCell ref="O164:P164"/>
    <mergeCell ref="Q164:R164"/>
    <mergeCell ref="C165:D165"/>
    <mergeCell ref="E165:F165"/>
    <mergeCell ref="G165:H165"/>
    <mergeCell ref="I165:J165"/>
    <mergeCell ref="K165:L165"/>
    <mergeCell ref="M165:N165"/>
    <mergeCell ref="O165:P165"/>
    <mergeCell ref="Q165:R165"/>
    <mergeCell ref="A168:B176"/>
    <mergeCell ref="C168:D168"/>
    <mergeCell ref="K168:L168"/>
    <mergeCell ref="M168:N168"/>
    <mergeCell ref="O168:P168"/>
    <mergeCell ref="Q168:R168"/>
    <mergeCell ref="C169:D169"/>
    <mergeCell ref="M169:N169"/>
    <mergeCell ref="O169:P169"/>
    <mergeCell ref="Q169:R169"/>
    <mergeCell ref="C170:D170"/>
    <mergeCell ref="M170:N170"/>
    <mergeCell ref="O170:P170"/>
    <mergeCell ref="Q170:R170"/>
    <mergeCell ref="C171:D171"/>
    <mergeCell ref="C173:D173"/>
    <mergeCell ref="M173:N173"/>
    <mergeCell ref="O173:P173"/>
    <mergeCell ref="Q173:R173"/>
    <mergeCell ref="C174:D174"/>
    <mergeCell ref="M174:N174"/>
    <mergeCell ref="O174:P174"/>
    <mergeCell ref="Q174:R174"/>
    <mergeCell ref="M171:N171"/>
    <mergeCell ref="O171:P171"/>
    <mergeCell ref="Q171:R171"/>
    <mergeCell ref="C172:D172"/>
    <mergeCell ref="M172:N172"/>
    <mergeCell ref="O172:P172"/>
    <mergeCell ref="Q172:R172"/>
    <mergeCell ref="K169:L169"/>
    <mergeCell ref="K170:L170"/>
    <mergeCell ref="O179:P179"/>
    <mergeCell ref="Q179:R179"/>
    <mergeCell ref="C180:D180"/>
    <mergeCell ref="E180:H180"/>
    <mergeCell ref="C175:D175"/>
    <mergeCell ref="M175:N175"/>
    <mergeCell ref="O175:P175"/>
    <mergeCell ref="Q175:R175"/>
    <mergeCell ref="C176:D176"/>
    <mergeCell ref="M176:N176"/>
    <mergeCell ref="O176:P176"/>
    <mergeCell ref="Q176:R176"/>
    <mergeCell ref="I180:J180"/>
    <mergeCell ref="K180:L180"/>
    <mergeCell ref="M180:N180"/>
    <mergeCell ref="O180:P180"/>
    <mergeCell ref="Q180:R180"/>
    <mergeCell ref="C181:D181"/>
    <mergeCell ref="E181:H181"/>
    <mergeCell ref="I181:J181"/>
    <mergeCell ref="K181:L181"/>
    <mergeCell ref="M181:N181"/>
    <mergeCell ref="O181:P181"/>
    <mergeCell ref="Q181:R181"/>
    <mergeCell ref="A177:B185"/>
    <mergeCell ref="C177:D177"/>
    <mergeCell ref="E177:H177"/>
    <mergeCell ref="I177:J177"/>
    <mergeCell ref="K177:L177"/>
    <mergeCell ref="M177:N177"/>
    <mergeCell ref="O177:P177"/>
    <mergeCell ref="Q177:R177"/>
    <mergeCell ref="C178:D178"/>
    <mergeCell ref="E178:H178"/>
    <mergeCell ref="I178:J178"/>
    <mergeCell ref="K178:L178"/>
    <mergeCell ref="M178:N178"/>
    <mergeCell ref="O178:P178"/>
    <mergeCell ref="Q178:R178"/>
    <mergeCell ref="C179:D179"/>
    <mergeCell ref="E179:H179"/>
    <mergeCell ref="I179:J179"/>
    <mergeCell ref="K179:L179"/>
    <mergeCell ref="M179:N179"/>
    <mergeCell ref="C184:D184"/>
    <mergeCell ref="E184:H184"/>
    <mergeCell ref="I184:J184"/>
    <mergeCell ref="K184:L184"/>
    <mergeCell ref="M184:N184"/>
    <mergeCell ref="O184:P184"/>
    <mergeCell ref="Q184:R184"/>
    <mergeCell ref="C185:D185"/>
    <mergeCell ref="E185:H185"/>
    <mergeCell ref="I185:J185"/>
    <mergeCell ref="K185:L185"/>
    <mergeCell ref="M185:N185"/>
    <mergeCell ref="O185:P185"/>
    <mergeCell ref="Q185:R185"/>
    <mergeCell ref="C182:D182"/>
    <mergeCell ref="E182:H182"/>
    <mergeCell ref="I182:J182"/>
    <mergeCell ref="K182:L182"/>
    <mergeCell ref="M182:N182"/>
    <mergeCell ref="O182:P182"/>
    <mergeCell ref="Q182:R182"/>
    <mergeCell ref="C183:D183"/>
    <mergeCell ref="E183:H183"/>
    <mergeCell ref="I183:J183"/>
    <mergeCell ref="K183:L183"/>
    <mergeCell ref="M183:N183"/>
    <mergeCell ref="O183:P183"/>
    <mergeCell ref="Q183:R183"/>
    <mergeCell ref="A186:B194"/>
    <mergeCell ref="C186:D186"/>
    <mergeCell ref="E186:H186"/>
    <mergeCell ref="I186:J186"/>
    <mergeCell ref="K186:L186"/>
    <mergeCell ref="M186:N186"/>
    <mergeCell ref="O186:P186"/>
    <mergeCell ref="Q186:R186"/>
    <mergeCell ref="C187:D187"/>
    <mergeCell ref="E187:H187"/>
    <mergeCell ref="I187:J187"/>
    <mergeCell ref="K187:L187"/>
    <mergeCell ref="M187:N187"/>
    <mergeCell ref="O187:P187"/>
    <mergeCell ref="C188:D188"/>
    <mergeCell ref="E188:H188"/>
    <mergeCell ref="I188:J188"/>
    <mergeCell ref="K188:L188"/>
    <mergeCell ref="M188:N188"/>
    <mergeCell ref="O188:P188"/>
    <mergeCell ref="C189:D189"/>
    <mergeCell ref="E189:H189"/>
    <mergeCell ref="I189:J189"/>
    <mergeCell ref="K189:L189"/>
    <mergeCell ref="C192:D192"/>
    <mergeCell ref="E192:H192"/>
    <mergeCell ref="I192:J192"/>
    <mergeCell ref="K192:L192"/>
    <mergeCell ref="M192:N192"/>
    <mergeCell ref="O192:P192"/>
    <mergeCell ref="C193:D193"/>
    <mergeCell ref="E193:H193"/>
    <mergeCell ref="I193:J193"/>
    <mergeCell ref="K193:L193"/>
    <mergeCell ref="M193:N193"/>
    <mergeCell ref="O193:P193"/>
    <mergeCell ref="M189:N189"/>
    <mergeCell ref="O189:P189"/>
    <mergeCell ref="C190:D190"/>
    <mergeCell ref="E190:H190"/>
    <mergeCell ref="I190:J190"/>
    <mergeCell ref="K190:L190"/>
    <mergeCell ref="M190:N190"/>
    <mergeCell ref="O190:P190"/>
    <mergeCell ref="C191:D191"/>
    <mergeCell ref="E191:H191"/>
    <mergeCell ref="I191:J191"/>
    <mergeCell ref="K191:L191"/>
    <mergeCell ref="M191:N191"/>
    <mergeCell ref="O191:P191"/>
    <mergeCell ref="A196:B205"/>
    <mergeCell ref="C196:D196"/>
    <mergeCell ref="E196:H196"/>
    <mergeCell ref="I196:J196"/>
    <mergeCell ref="K196:L196"/>
    <mergeCell ref="M196:N196"/>
    <mergeCell ref="O196:P196"/>
    <mergeCell ref="C199:D199"/>
    <mergeCell ref="E199:H199"/>
    <mergeCell ref="I199:J199"/>
    <mergeCell ref="K199:L199"/>
    <mergeCell ref="M199:N199"/>
    <mergeCell ref="O199:P199"/>
    <mergeCell ref="C202:D202"/>
    <mergeCell ref="E202:H202"/>
    <mergeCell ref="I202:J202"/>
    <mergeCell ref="K202:L202"/>
    <mergeCell ref="M202:N202"/>
    <mergeCell ref="O202:P202"/>
    <mergeCell ref="Q196:R196"/>
    <mergeCell ref="C197:D197"/>
    <mergeCell ref="E197:H197"/>
    <mergeCell ref="I197:J197"/>
    <mergeCell ref="K197:L197"/>
    <mergeCell ref="M197:N197"/>
    <mergeCell ref="O197:P197"/>
    <mergeCell ref="Q197:R197"/>
    <mergeCell ref="C198:D198"/>
    <mergeCell ref="E198:H198"/>
    <mergeCell ref="I198:J198"/>
    <mergeCell ref="K198:L198"/>
    <mergeCell ref="M198:N198"/>
    <mergeCell ref="O198:P198"/>
    <mergeCell ref="Q198:R198"/>
    <mergeCell ref="C194:D194"/>
    <mergeCell ref="E194:H194"/>
    <mergeCell ref="I194:J194"/>
    <mergeCell ref="K194:L194"/>
    <mergeCell ref="M194:N194"/>
    <mergeCell ref="O194:P194"/>
    <mergeCell ref="Q202:R202"/>
    <mergeCell ref="C203:D203"/>
    <mergeCell ref="E203:H203"/>
    <mergeCell ref="I203:J203"/>
    <mergeCell ref="K203:L203"/>
    <mergeCell ref="M203:N203"/>
    <mergeCell ref="O203:P203"/>
    <mergeCell ref="Q203:R203"/>
    <mergeCell ref="Q199:R199"/>
    <mergeCell ref="C200:D200"/>
    <mergeCell ref="E200:H200"/>
    <mergeCell ref="I200:J200"/>
    <mergeCell ref="K200:L200"/>
    <mergeCell ref="M200:N200"/>
    <mergeCell ref="O200:P200"/>
    <mergeCell ref="Q200:R200"/>
    <mergeCell ref="C201:D201"/>
    <mergeCell ref="E201:H201"/>
    <mergeCell ref="I201:J201"/>
    <mergeCell ref="K201:L201"/>
    <mergeCell ref="M201:N201"/>
    <mergeCell ref="O201:P201"/>
    <mergeCell ref="Q201:R201"/>
    <mergeCell ref="C208:D208"/>
    <mergeCell ref="E208:H208"/>
    <mergeCell ref="M208:N208"/>
    <mergeCell ref="C209:D209"/>
    <mergeCell ref="E209:H209"/>
    <mergeCell ref="C204:D204"/>
    <mergeCell ref="E204:H204"/>
    <mergeCell ref="I204:J204"/>
    <mergeCell ref="K204:L204"/>
    <mergeCell ref="M204:N204"/>
    <mergeCell ref="O204:P204"/>
    <mergeCell ref="Q204:R204"/>
    <mergeCell ref="C205:D205"/>
    <mergeCell ref="E205:H205"/>
    <mergeCell ref="I205:J205"/>
    <mergeCell ref="K205:L205"/>
    <mergeCell ref="M205:N205"/>
    <mergeCell ref="O205:P205"/>
    <mergeCell ref="Q205:R205"/>
    <mergeCell ref="O206:R206"/>
    <mergeCell ref="O207:R207"/>
    <mergeCell ref="O208:R208"/>
    <mergeCell ref="I206:L206"/>
    <mergeCell ref="I207:L207"/>
    <mergeCell ref="I208:L208"/>
    <mergeCell ref="I209:L209"/>
    <mergeCell ref="M209:N209"/>
    <mergeCell ref="C210:D210"/>
    <mergeCell ref="E210:H210"/>
    <mergeCell ref="M210:N210"/>
    <mergeCell ref="O209:R209"/>
    <mergeCell ref="O210:R210"/>
    <mergeCell ref="I210:L210"/>
    <mergeCell ref="O243:P243"/>
    <mergeCell ref="A238:R238"/>
    <mergeCell ref="A239:R239"/>
    <mergeCell ref="A240:B240"/>
    <mergeCell ref="C240:D240"/>
    <mergeCell ref="E240:F240"/>
    <mergeCell ref="G240:H240"/>
    <mergeCell ref="I240:J240"/>
    <mergeCell ref="K240:L240"/>
    <mergeCell ref="M240:N240"/>
    <mergeCell ref="O240:P240"/>
    <mergeCell ref="Q240:R240"/>
    <mergeCell ref="C211:D211"/>
    <mergeCell ref="E211:H211"/>
    <mergeCell ref="M211:N211"/>
    <mergeCell ref="A235:R236"/>
    <mergeCell ref="A237:R237"/>
    <mergeCell ref="A206:B211"/>
    <mergeCell ref="C206:D206"/>
    <mergeCell ref="E206:H206"/>
    <mergeCell ref="M206:N206"/>
    <mergeCell ref="C207:D207"/>
    <mergeCell ref="E207:H207"/>
    <mergeCell ref="Q243:R243"/>
    <mergeCell ref="O211:R211"/>
    <mergeCell ref="M207:N207"/>
    <mergeCell ref="C244:D244"/>
    <mergeCell ref="E244:F244"/>
    <mergeCell ref="G244:H244"/>
    <mergeCell ref="I244:J244"/>
    <mergeCell ref="K244:L244"/>
    <mergeCell ref="M244:N244"/>
    <mergeCell ref="O244:P244"/>
    <mergeCell ref="Q244:R244"/>
    <mergeCell ref="A241:B248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C242:D242"/>
    <mergeCell ref="E242:F242"/>
    <mergeCell ref="G242:H242"/>
    <mergeCell ref="I242:J242"/>
    <mergeCell ref="K242:L242"/>
    <mergeCell ref="M242:N242"/>
    <mergeCell ref="O242:P242"/>
    <mergeCell ref="Q242:R242"/>
    <mergeCell ref="C243:D243"/>
    <mergeCell ref="E243:F243"/>
    <mergeCell ref="G243:H243"/>
    <mergeCell ref="I243:J243"/>
    <mergeCell ref="K243:L243"/>
    <mergeCell ref="M243:N243"/>
    <mergeCell ref="C247:D247"/>
    <mergeCell ref="E247:F247"/>
    <mergeCell ref="G247:H247"/>
    <mergeCell ref="I247:J247"/>
    <mergeCell ref="K247:L247"/>
    <mergeCell ref="M247:N247"/>
    <mergeCell ref="O247:P247"/>
    <mergeCell ref="Q247:R247"/>
    <mergeCell ref="C248:D248"/>
    <mergeCell ref="E248:F248"/>
    <mergeCell ref="G248:H248"/>
    <mergeCell ref="I248:J248"/>
    <mergeCell ref="K248:L248"/>
    <mergeCell ref="M248:N248"/>
    <mergeCell ref="O248:P248"/>
    <mergeCell ref="Q248:R248"/>
    <mergeCell ref="C245:D245"/>
    <mergeCell ref="E245:F245"/>
    <mergeCell ref="G245:H245"/>
    <mergeCell ref="I245:J245"/>
    <mergeCell ref="K245:L245"/>
    <mergeCell ref="M245:N245"/>
    <mergeCell ref="O245:P245"/>
    <mergeCell ref="Q245:R245"/>
    <mergeCell ref="C246:D246"/>
    <mergeCell ref="E246:F246"/>
    <mergeCell ref="G246:H246"/>
    <mergeCell ref="I246:J246"/>
    <mergeCell ref="K246:L246"/>
    <mergeCell ref="M246:N246"/>
    <mergeCell ref="O246:P246"/>
    <mergeCell ref="Q246:R246"/>
    <mergeCell ref="A250:B258"/>
    <mergeCell ref="M250:N250"/>
    <mergeCell ref="O250:P250"/>
    <mergeCell ref="Q250:R250"/>
    <mergeCell ref="M251:N251"/>
    <mergeCell ref="O251:P251"/>
    <mergeCell ref="Q251:R251"/>
    <mergeCell ref="M252:N252"/>
    <mergeCell ref="O252:P252"/>
    <mergeCell ref="Q252:R252"/>
    <mergeCell ref="M255:N255"/>
    <mergeCell ref="O255:P255"/>
    <mergeCell ref="Q255:R255"/>
    <mergeCell ref="M256:N256"/>
    <mergeCell ref="O256:P256"/>
    <mergeCell ref="Q256:R256"/>
    <mergeCell ref="M253:N253"/>
    <mergeCell ref="O253:P253"/>
    <mergeCell ref="Q253:R253"/>
    <mergeCell ref="M254:N254"/>
    <mergeCell ref="O254:P254"/>
    <mergeCell ref="Q254:R254"/>
    <mergeCell ref="F251:I251"/>
    <mergeCell ref="F252:I252"/>
    <mergeCell ref="F253:I253"/>
    <mergeCell ref="F254:I254"/>
    <mergeCell ref="F255:I255"/>
    <mergeCell ref="F256:I256"/>
    <mergeCell ref="F257:I257"/>
    <mergeCell ref="F258:I258"/>
    <mergeCell ref="C250:E250"/>
    <mergeCell ref="C251:E251"/>
    <mergeCell ref="M257:N257"/>
    <mergeCell ref="O257:P257"/>
    <mergeCell ref="Q257:R257"/>
    <mergeCell ref="M258:N258"/>
    <mergeCell ref="O258:P258"/>
    <mergeCell ref="Q258:R258"/>
    <mergeCell ref="K262:L262"/>
    <mergeCell ref="O262:P262"/>
    <mergeCell ref="Q262:R262"/>
    <mergeCell ref="C259:E259"/>
    <mergeCell ref="C260:E260"/>
    <mergeCell ref="C261:E261"/>
    <mergeCell ref="C262:E262"/>
    <mergeCell ref="K263:L263"/>
    <mergeCell ref="O263:P263"/>
    <mergeCell ref="Q263:R263"/>
    <mergeCell ref="C263:E263"/>
    <mergeCell ref="F259:J259"/>
    <mergeCell ref="F260:J260"/>
    <mergeCell ref="F261:J261"/>
    <mergeCell ref="F262:J262"/>
    <mergeCell ref="F263:J263"/>
    <mergeCell ref="A259:B270"/>
    <mergeCell ref="K259:L259"/>
    <mergeCell ref="O259:P259"/>
    <mergeCell ref="Q259:R259"/>
    <mergeCell ref="K260:L260"/>
    <mergeCell ref="O260:P260"/>
    <mergeCell ref="Q260:R260"/>
    <mergeCell ref="K261:L261"/>
    <mergeCell ref="K269:L269"/>
    <mergeCell ref="O269:P269"/>
    <mergeCell ref="Q269:R269"/>
    <mergeCell ref="K270:L270"/>
    <mergeCell ref="O270:P270"/>
    <mergeCell ref="Q270:R270"/>
    <mergeCell ref="K264:L264"/>
    <mergeCell ref="O264:P264"/>
    <mergeCell ref="Q264:R264"/>
    <mergeCell ref="K268:L268"/>
    <mergeCell ref="O268:P268"/>
    <mergeCell ref="Q268:R268"/>
    <mergeCell ref="Q265:R265"/>
    <mergeCell ref="Q266:R266"/>
    <mergeCell ref="Q267:R267"/>
    <mergeCell ref="Q261:R261"/>
    <mergeCell ref="C264:E264"/>
    <mergeCell ref="F264:J264"/>
    <mergeCell ref="F268:J268"/>
    <mergeCell ref="F269:J269"/>
    <mergeCell ref="F270:J270"/>
    <mergeCell ref="C270:E270"/>
    <mergeCell ref="K265:L265"/>
    <mergeCell ref="O265:P265"/>
    <mergeCell ref="C271:D271"/>
    <mergeCell ref="E271:H271"/>
    <mergeCell ref="I271:J271"/>
    <mergeCell ref="K271:L271"/>
    <mergeCell ref="M271:N271"/>
    <mergeCell ref="O271:P271"/>
    <mergeCell ref="Q271:R271"/>
    <mergeCell ref="C272:D272"/>
    <mergeCell ref="E272:H272"/>
    <mergeCell ref="I272:J272"/>
    <mergeCell ref="K272:L272"/>
    <mergeCell ref="M272:N272"/>
    <mergeCell ref="O272:P272"/>
    <mergeCell ref="C273:D273"/>
    <mergeCell ref="E273:H273"/>
    <mergeCell ref="I273:J273"/>
    <mergeCell ref="K273:L273"/>
    <mergeCell ref="M273:N273"/>
    <mergeCell ref="O273:P273"/>
    <mergeCell ref="K276:L276"/>
    <mergeCell ref="M276:N276"/>
    <mergeCell ref="O276:P276"/>
    <mergeCell ref="C274:D274"/>
    <mergeCell ref="E274:H274"/>
    <mergeCell ref="I274:J274"/>
    <mergeCell ref="K274:L274"/>
    <mergeCell ref="C279:D279"/>
    <mergeCell ref="E279:H279"/>
    <mergeCell ref="I279:J279"/>
    <mergeCell ref="K279:L279"/>
    <mergeCell ref="M279:N279"/>
    <mergeCell ref="O279:P279"/>
    <mergeCell ref="C277:D277"/>
    <mergeCell ref="E277:H277"/>
    <mergeCell ref="I277:J277"/>
    <mergeCell ref="K277:L277"/>
    <mergeCell ref="M277:N277"/>
    <mergeCell ref="O277:P277"/>
    <mergeCell ref="C278:D278"/>
    <mergeCell ref="E278:H278"/>
    <mergeCell ref="M274:N274"/>
    <mergeCell ref="O274:P274"/>
    <mergeCell ref="C275:D275"/>
    <mergeCell ref="E275:H275"/>
    <mergeCell ref="I275:J275"/>
    <mergeCell ref="C280:D280"/>
    <mergeCell ref="E280:H280"/>
    <mergeCell ref="I280:J280"/>
    <mergeCell ref="K280:L280"/>
    <mergeCell ref="M280:N280"/>
    <mergeCell ref="O280:P280"/>
    <mergeCell ref="A281:B288"/>
    <mergeCell ref="K281:L281"/>
    <mergeCell ref="M281:N281"/>
    <mergeCell ref="O281:P281"/>
    <mergeCell ref="K284:L284"/>
    <mergeCell ref="M284:N284"/>
    <mergeCell ref="O284:P284"/>
    <mergeCell ref="K287:L287"/>
    <mergeCell ref="M287:N287"/>
    <mergeCell ref="O287:P287"/>
    <mergeCell ref="A271:B279"/>
    <mergeCell ref="F281:I281"/>
    <mergeCell ref="F282:I282"/>
    <mergeCell ref="K288:L288"/>
    <mergeCell ref="M288:N288"/>
    <mergeCell ref="O288:P288"/>
    <mergeCell ref="I278:J278"/>
    <mergeCell ref="K278:L278"/>
    <mergeCell ref="M278:N278"/>
    <mergeCell ref="O278:P278"/>
    <mergeCell ref="K275:L275"/>
    <mergeCell ref="M275:N275"/>
    <mergeCell ref="O275:P275"/>
    <mergeCell ref="C276:D276"/>
    <mergeCell ref="E276:H276"/>
    <mergeCell ref="I276:J276"/>
    <mergeCell ref="Q284:R284"/>
    <mergeCell ref="K285:L285"/>
    <mergeCell ref="M285:N285"/>
    <mergeCell ref="O285:P285"/>
    <mergeCell ref="Q285:R285"/>
    <mergeCell ref="K286:L286"/>
    <mergeCell ref="M286:N286"/>
    <mergeCell ref="O286:P286"/>
    <mergeCell ref="Q286:R286"/>
    <mergeCell ref="Q281:R281"/>
    <mergeCell ref="K282:L282"/>
    <mergeCell ref="M282:N282"/>
    <mergeCell ref="O282:P282"/>
    <mergeCell ref="Q282:R282"/>
    <mergeCell ref="K283:L283"/>
    <mergeCell ref="M283:N283"/>
    <mergeCell ref="O283:P283"/>
    <mergeCell ref="Q283:R283"/>
    <mergeCell ref="Q288:R288"/>
    <mergeCell ref="Q287:R287"/>
    <mergeCell ref="O326:P326"/>
    <mergeCell ref="A321:R321"/>
    <mergeCell ref="A322:R322"/>
    <mergeCell ref="A323:B323"/>
    <mergeCell ref="C323:D323"/>
    <mergeCell ref="E323:F323"/>
    <mergeCell ref="G323:H323"/>
    <mergeCell ref="I323:J323"/>
    <mergeCell ref="K323:L323"/>
    <mergeCell ref="M323:N323"/>
    <mergeCell ref="O323:P323"/>
    <mergeCell ref="Q323:R323"/>
    <mergeCell ref="C294:D294"/>
    <mergeCell ref="E294:H294"/>
    <mergeCell ref="M294:N294"/>
    <mergeCell ref="A318:R319"/>
    <mergeCell ref="A320:R320"/>
    <mergeCell ref="A289:B294"/>
    <mergeCell ref="C289:D289"/>
    <mergeCell ref="E289:H289"/>
    <mergeCell ref="M289:N289"/>
    <mergeCell ref="C290:D290"/>
    <mergeCell ref="E290:H290"/>
    <mergeCell ref="M292:N292"/>
    <mergeCell ref="C293:D293"/>
    <mergeCell ref="E293:H293"/>
    <mergeCell ref="Q326:R326"/>
    <mergeCell ref="M293:N293"/>
    <mergeCell ref="M290:N290"/>
    <mergeCell ref="C291:D291"/>
    <mergeCell ref="M291:N291"/>
    <mergeCell ref="C327:D327"/>
    <mergeCell ref="E327:F327"/>
    <mergeCell ref="G327:H327"/>
    <mergeCell ref="I327:J327"/>
    <mergeCell ref="K327:L327"/>
    <mergeCell ref="M327:N327"/>
    <mergeCell ref="O327:P327"/>
    <mergeCell ref="Q327:R327"/>
    <mergeCell ref="A324:B331"/>
    <mergeCell ref="C324:D324"/>
    <mergeCell ref="E324:F324"/>
    <mergeCell ref="G324:H324"/>
    <mergeCell ref="I324:J324"/>
    <mergeCell ref="K324:L324"/>
    <mergeCell ref="M324:N324"/>
    <mergeCell ref="O324:P324"/>
    <mergeCell ref="Q324:R324"/>
    <mergeCell ref="C325:D325"/>
    <mergeCell ref="E325:F325"/>
    <mergeCell ref="G325:H325"/>
    <mergeCell ref="I325:J325"/>
    <mergeCell ref="K325:L325"/>
    <mergeCell ref="M325:N325"/>
    <mergeCell ref="O325:P325"/>
    <mergeCell ref="Q325:R325"/>
    <mergeCell ref="C326:D326"/>
    <mergeCell ref="E326:F326"/>
    <mergeCell ref="G326:H326"/>
    <mergeCell ref="I326:J326"/>
    <mergeCell ref="K326:L326"/>
    <mergeCell ref="M326:N326"/>
    <mergeCell ref="K330:L330"/>
    <mergeCell ref="M330:N330"/>
    <mergeCell ref="O330:P330"/>
    <mergeCell ref="Q330:R330"/>
    <mergeCell ref="C331:D331"/>
    <mergeCell ref="E331:F331"/>
    <mergeCell ref="G331:H331"/>
    <mergeCell ref="I331:J331"/>
    <mergeCell ref="K331:L331"/>
    <mergeCell ref="M331:N331"/>
    <mergeCell ref="O331:P331"/>
    <mergeCell ref="Q331:R331"/>
    <mergeCell ref="C328:D328"/>
    <mergeCell ref="E328:F328"/>
    <mergeCell ref="G328:H328"/>
    <mergeCell ref="I328:J328"/>
    <mergeCell ref="K328:L328"/>
    <mergeCell ref="M328:N328"/>
    <mergeCell ref="O328:P328"/>
    <mergeCell ref="Q328:R328"/>
    <mergeCell ref="C329:D329"/>
    <mergeCell ref="E329:F329"/>
    <mergeCell ref="G329:H329"/>
    <mergeCell ref="I329:J329"/>
    <mergeCell ref="K329:L329"/>
    <mergeCell ref="M329:N329"/>
    <mergeCell ref="O329:P329"/>
    <mergeCell ref="Q329:R329"/>
    <mergeCell ref="M332:N332"/>
    <mergeCell ref="O332:P332"/>
    <mergeCell ref="Q332:R332"/>
    <mergeCell ref="M333:N333"/>
    <mergeCell ref="O333:P333"/>
    <mergeCell ref="Q333:R333"/>
    <mergeCell ref="M334:N334"/>
    <mergeCell ref="O334:P334"/>
    <mergeCell ref="Q334:R334"/>
    <mergeCell ref="M337:N337"/>
    <mergeCell ref="O337:P337"/>
    <mergeCell ref="Q337:R337"/>
    <mergeCell ref="M338:N338"/>
    <mergeCell ref="O338:P338"/>
    <mergeCell ref="Q338:R338"/>
    <mergeCell ref="M335:N335"/>
    <mergeCell ref="O335:P335"/>
    <mergeCell ref="Q335:R335"/>
    <mergeCell ref="M336:N336"/>
    <mergeCell ref="O336:P336"/>
    <mergeCell ref="Q336:R336"/>
    <mergeCell ref="Q343:R343"/>
    <mergeCell ref="M339:N339"/>
    <mergeCell ref="O339:P339"/>
    <mergeCell ref="Q339:R339"/>
    <mergeCell ref="M340:N340"/>
    <mergeCell ref="O340:P340"/>
    <mergeCell ref="Q340:R340"/>
    <mergeCell ref="K344:L344"/>
    <mergeCell ref="M344:N344"/>
    <mergeCell ref="O344:P344"/>
    <mergeCell ref="Q344:R344"/>
    <mergeCell ref="K345:L345"/>
    <mergeCell ref="M345:N345"/>
    <mergeCell ref="O345:P345"/>
    <mergeCell ref="Q345:R345"/>
    <mergeCell ref="A341:B349"/>
    <mergeCell ref="K341:L341"/>
    <mergeCell ref="M341:N341"/>
    <mergeCell ref="O341:P341"/>
    <mergeCell ref="Q341:R341"/>
    <mergeCell ref="K342:L342"/>
    <mergeCell ref="M342:N342"/>
    <mergeCell ref="O342:P342"/>
    <mergeCell ref="Q342:R342"/>
    <mergeCell ref="K343:L343"/>
    <mergeCell ref="M343:N343"/>
    <mergeCell ref="K348:L348"/>
    <mergeCell ref="M348:N348"/>
    <mergeCell ref="O348:P348"/>
    <mergeCell ref="Q348:R348"/>
    <mergeCell ref="K349:L349"/>
    <mergeCell ref="A332:B340"/>
    <mergeCell ref="M349:N349"/>
    <mergeCell ref="O349:P349"/>
    <mergeCell ref="Q349:R349"/>
    <mergeCell ref="K346:L346"/>
    <mergeCell ref="M346:N346"/>
    <mergeCell ref="O346:P346"/>
    <mergeCell ref="Q346:R346"/>
    <mergeCell ref="K347:L347"/>
    <mergeCell ref="M347:N347"/>
    <mergeCell ref="O347:P347"/>
    <mergeCell ref="Q347:R347"/>
    <mergeCell ref="Q350:R350"/>
    <mergeCell ref="C351:D351"/>
    <mergeCell ref="E351:H351"/>
    <mergeCell ref="I351:J351"/>
    <mergeCell ref="K351:L351"/>
    <mergeCell ref="M351:N351"/>
    <mergeCell ref="O351:P351"/>
    <mergeCell ref="C346:E346"/>
    <mergeCell ref="C347:E347"/>
    <mergeCell ref="C348:E348"/>
    <mergeCell ref="C349:E349"/>
    <mergeCell ref="M355:N355"/>
    <mergeCell ref="O355:P355"/>
    <mergeCell ref="C356:D356"/>
    <mergeCell ref="E356:H356"/>
    <mergeCell ref="I356:J356"/>
    <mergeCell ref="K356:L356"/>
    <mergeCell ref="M356:N356"/>
    <mergeCell ref="O356:P356"/>
    <mergeCell ref="A360:B369"/>
    <mergeCell ref="K360:L360"/>
    <mergeCell ref="M360:N360"/>
    <mergeCell ref="O360:P360"/>
    <mergeCell ref="K363:L363"/>
    <mergeCell ref="M363:N363"/>
    <mergeCell ref="O363:P363"/>
    <mergeCell ref="K366:L366"/>
    <mergeCell ref="M366:N366"/>
    <mergeCell ref="O366:P366"/>
    <mergeCell ref="A350:B358"/>
    <mergeCell ref="C350:D350"/>
    <mergeCell ref="E350:H350"/>
    <mergeCell ref="I350:J350"/>
    <mergeCell ref="K350:L350"/>
    <mergeCell ref="M350:N350"/>
    <mergeCell ref="O350:P350"/>
    <mergeCell ref="C364:E364"/>
    <mergeCell ref="C365:E365"/>
    <mergeCell ref="C366:E366"/>
    <mergeCell ref="C367:E367"/>
    <mergeCell ref="C368:E368"/>
    <mergeCell ref="C369:E369"/>
    <mergeCell ref="C362:E362"/>
    <mergeCell ref="K352:L352"/>
    <mergeCell ref="M352:N352"/>
    <mergeCell ref="O352:P352"/>
    <mergeCell ref="C353:D353"/>
    <mergeCell ref="E353:H353"/>
    <mergeCell ref="I353:J353"/>
    <mergeCell ref="K353:L353"/>
    <mergeCell ref="I357:J357"/>
    <mergeCell ref="K357:L357"/>
    <mergeCell ref="M357:N357"/>
    <mergeCell ref="O357:P357"/>
    <mergeCell ref="M353:N353"/>
    <mergeCell ref="O353:P353"/>
    <mergeCell ref="Q363:R363"/>
    <mergeCell ref="K364:L364"/>
    <mergeCell ref="M364:N364"/>
    <mergeCell ref="O364:P364"/>
    <mergeCell ref="Q364:R364"/>
    <mergeCell ref="Q357:R357"/>
    <mergeCell ref="Q358:R358"/>
    <mergeCell ref="Q359:R359"/>
    <mergeCell ref="K358:L358"/>
    <mergeCell ref="M358:N358"/>
    <mergeCell ref="O358:P358"/>
    <mergeCell ref="Q356:R356"/>
    <mergeCell ref="K354:L354"/>
    <mergeCell ref="M354:N354"/>
    <mergeCell ref="O354:P354"/>
    <mergeCell ref="C355:D355"/>
    <mergeCell ref="E355:H355"/>
    <mergeCell ref="I355:J355"/>
    <mergeCell ref="K355:L355"/>
    <mergeCell ref="O365:P365"/>
    <mergeCell ref="Q365:R365"/>
    <mergeCell ref="Q360:R360"/>
    <mergeCell ref="K361:L361"/>
    <mergeCell ref="M361:N361"/>
    <mergeCell ref="O361:P361"/>
    <mergeCell ref="Q361:R361"/>
    <mergeCell ref="K362:L362"/>
    <mergeCell ref="M362:N362"/>
    <mergeCell ref="O362:P362"/>
    <mergeCell ref="Q362:R362"/>
    <mergeCell ref="C373:D373"/>
    <mergeCell ref="E373:H373"/>
    <mergeCell ref="K368:L368"/>
    <mergeCell ref="M368:N368"/>
    <mergeCell ref="O368:P368"/>
    <mergeCell ref="Q368:R368"/>
    <mergeCell ref="K369:L369"/>
    <mergeCell ref="M369:N369"/>
    <mergeCell ref="O369:P369"/>
    <mergeCell ref="Q369:R369"/>
    <mergeCell ref="Q366:R366"/>
    <mergeCell ref="K367:L367"/>
    <mergeCell ref="M367:N367"/>
    <mergeCell ref="O367:P367"/>
    <mergeCell ref="Q367:R367"/>
    <mergeCell ref="C363:E363"/>
    <mergeCell ref="K365:L365"/>
    <mergeCell ref="M365:N365"/>
    <mergeCell ref="F360:I360"/>
    <mergeCell ref="F361:I361"/>
    <mergeCell ref="F362:I362"/>
    <mergeCell ref="C404:D404"/>
    <mergeCell ref="E404:F404"/>
    <mergeCell ref="G404:H404"/>
    <mergeCell ref="I404:J404"/>
    <mergeCell ref="K404:L404"/>
    <mergeCell ref="M404:N404"/>
    <mergeCell ref="O404:P404"/>
    <mergeCell ref="Q404:R404"/>
    <mergeCell ref="C375:D375"/>
    <mergeCell ref="E375:H375"/>
    <mergeCell ref="M375:N375"/>
    <mergeCell ref="A399:R400"/>
    <mergeCell ref="A401:R401"/>
    <mergeCell ref="A370:B375"/>
    <mergeCell ref="C370:D370"/>
    <mergeCell ref="E370:H370"/>
    <mergeCell ref="M370:N370"/>
    <mergeCell ref="C371:D371"/>
    <mergeCell ref="E371:H371"/>
    <mergeCell ref="M373:N373"/>
    <mergeCell ref="C374:D374"/>
    <mergeCell ref="E374:H374"/>
    <mergeCell ref="M374:N374"/>
    <mergeCell ref="M371:N371"/>
    <mergeCell ref="C372:D372"/>
    <mergeCell ref="E372:H372"/>
    <mergeCell ref="M372:N372"/>
    <mergeCell ref="A405:B412"/>
    <mergeCell ref="C405:D405"/>
    <mergeCell ref="E405:F405"/>
    <mergeCell ref="G405:H405"/>
    <mergeCell ref="I405:J405"/>
    <mergeCell ref="K405:L405"/>
    <mergeCell ref="M405:N405"/>
    <mergeCell ref="O405:P405"/>
    <mergeCell ref="Q405:R405"/>
    <mergeCell ref="C406:D406"/>
    <mergeCell ref="E406:F406"/>
    <mergeCell ref="G406:H406"/>
    <mergeCell ref="I406:J406"/>
    <mergeCell ref="K406:L406"/>
    <mergeCell ref="M406:N406"/>
    <mergeCell ref="O406:P406"/>
    <mergeCell ref="Q406:R406"/>
    <mergeCell ref="C407:D407"/>
    <mergeCell ref="E407:F407"/>
    <mergeCell ref="G407:H407"/>
    <mergeCell ref="I407:J407"/>
    <mergeCell ref="K407:L407"/>
    <mergeCell ref="M407:N407"/>
    <mergeCell ref="C411:D411"/>
    <mergeCell ref="E411:F411"/>
    <mergeCell ref="G411:H411"/>
    <mergeCell ref="I411:J411"/>
    <mergeCell ref="K411:L411"/>
    <mergeCell ref="O407:P407"/>
    <mergeCell ref="Q407:R407"/>
    <mergeCell ref="C408:D408"/>
    <mergeCell ref="E408:F408"/>
    <mergeCell ref="C409:D409"/>
    <mergeCell ref="E409:F409"/>
    <mergeCell ref="G409:H409"/>
    <mergeCell ref="I409:J409"/>
    <mergeCell ref="K409:L409"/>
    <mergeCell ref="M409:N409"/>
    <mergeCell ref="O409:P409"/>
    <mergeCell ref="Q409:R409"/>
    <mergeCell ref="C410:D410"/>
    <mergeCell ref="E410:F410"/>
    <mergeCell ref="G410:H410"/>
    <mergeCell ref="I410:J410"/>
    <mergeCell ref="K410:L410"/>
    <mergeCell ref="M410:N410"/>
    <mergeCell ref="O410:P410"/>
    <mergeCell ref="Q410:R410"/>
    <mergeCell ref="K408:L408"/>
    <mergeCell ref="M408:N408"/>
    <mergeCell ref="O408:P408"/>
    <mergeCell ref="Q408:R408"/>
    <mergeCell ref="G408:H408"/>
    <mergeCell ref="I408:J408"/>
    <mergeCell ref="M415:N415"/>
    <mergeCell ref="O415:P415"/>
    <mergeCell ref="Q415:R415"/>
    <mergeCell ref="C416:D416"/>
    <mergeCell ref="C418:D418"/>
    <mergeCell ref="E418:F418"/>
    <mergeCell ref="G418:H418"/>
    <mergeCell ref="I418:J418"/>
    <mergeCell ref="M418:N418"/>
    <mergeCell ref="O418:P418"/>
    <mergeCell ref="Q418:R418"/>
    <mergeCell ref="C419:D419"/>
    <mergeCell ref="M411:N411"/>
    <mergeCell ref="O411:P411"/>
    <mergeCell ref="Q411:R411"/>
    <mergeCell ref="C412:D412"/>
    <mergeCell ref="E412:F412"/>
    <mergeCell ref="G412:H412"/>
    <mergeCell ref="I412:J412"/>
    <mergeCell ref="K412:L412"/>
    <mergeCell ref="M412:N412"/>
    <mergeCell ref="O412:P412"/>
    <mergeCell ref="Q412:R412"/>
    <mergeCell ref="M419:N419"/>
    <mergeCell ref="G420:H420"/>
    <mergeCell ref="I420:J420"/>
    <mergeCell ref="M420:N420"/>
    <mergeCell ref="O420:P420"/>
    <mergeCell ref="Q420:R420"/>
    <mergeCell ref="C421:D421"/>
    <mergeCell ref="E421:F421"/>
    <mergeCell ref="G421:H421"/>
    <mergeCell ref="I421:J421"/>
    <mergeCell ref="M421:N421"/>
    <mergeCell ref="O421:P421"/>
    <mergeCell ref="Q421:R421"/>
    <mergeCell ref="A413:B421"/>
    <mergeCell ref="C413:D413"/>
    <mergeCell ref="E413:F413"/>
    <mergeCell ref="G413:H413"/>
    <mergeCell ref="I413:J413"/>
    <mergeCell ref="K413:L413"/>
    <mergeCell ref="M413:N413"/>
    <mergeCell ref="O413:P413"/>
    <mergeCell ref="Q413:R413"/>
    <mergeCell ref="C414:D414"/>
    <mergeCell ref="E414:F414"/>
    <mergeCell ref="G414:H414"/>
    <mergeCell ref="I414:J414"/>
    <mergeCell ref="M414:N414"/>
    <mergeCell ref="O414:P414"/>
    <mergeCell ref="Q414:R414"/>
    <mergeCell ref="C415:D415"/>
    <mergeCell ref="E415:F415"/>
    <mergeCell ref="G415:H415"/>
    <mergeCell ref="I415:J415"/>
    <mergeCell ref="A422:B430"/>
    <mergeCell ref="O422:P422"/>
    <mergeCell ref="Q422:R422"/>
    <mergeCell ref="O423:P423"/>
    <mergeCell ref="Q423:R423"/>
    <mergeCell ref="O429:P429"/>
    <mergeCell ref="Q429:R429"/>
    <mergeCell ref="O430:P430"/>
    <mergeCell ref="Q430:R430"/>
    <mergeCell ref="O427:P427"/>
    <mergeCell ref="Q427:R427"/>
    <mergeCell ref="O428:P428"/>
    <mergeCell ref="Q428:R428"/>
    <mergeCell ref="O419:P419"/>
    <mergeCell ref="Q419:R419"/>
    <mergeCell ref="E416:F416"/>
    <mergeCell ref="G416:H416"/>
    <mergeCell ref="I416:J416"/>
    <mergeCell ref="M416:N416"/>
    <mergeCell ref="O416:P416"/>
    <mergeCell ref="Q416:R416"/>
    <mergeCell ref="C417:D417"/>
    <mergeCell ref="E417:F417"/>
    <mergeCell ref="G417:H417"/>
    <mergeCell ref="I417:J417"/>
    <mergeCell ref="M417:N417"/>
    <mergeCell ref="O417:P417"/>
    <mergeCell ref="Q417:R417"/>
    <mergeCell ref="O424:P424"/>
    <mergeCell ref="Q424:R424"/>
    <mergeCell ref="C420:D420"/>
    <mergeCell ref="E420:F420"/>
    <mergeCell ref="M435:N435"/>
    <mergeCell ref="O435:P435"/>
    <mergeCell ref="C436:D436"/>
    <mergeCell ref="E436:H436"/>
    <mergeCell ref="I436:J436"/>
    <mergeCell ref="K436:L436"/>
    <mergeCell ref="M436:N436"/>
    <mergeCell ref="O436:P436"/>
    <mergeCell ref="C434:D434"/>
    <mergeCell ref="O425:P425"/>
    <mergeCell ref="Q425:R425"/>
    <mergeCell ref="L422:M422"/>
    <mergeCell ref="L423:M423"/>
    <mergeCell ref="L424:M424"/>
    <mergeCell ref="L425:M425"/>
    <mergeCell ref="O426:P426"/>
    <mergeCell ref="Q426:R426"/>
    <mergeCell ref="O437:P437"/>
    <mergeCell ref="M439:N439"/>
    <mergeCell ref="O439:P439"/>
    <mergeCell ref="C440:D440"/>
    <mergeCell ref="E440:H440"/>
    <mergeCell ref="I440:J440"/>
    <mergeCell ref="K440:L440"/>
    <mergeCell ref="M440:N440"/>
    <mergeCell ref="O440:P440"/>
    <mergeCell ref="C438:D438"/>
    <mergeCell ref="E438:H438"/>
    <mergeCell ref="K431:L431"/>
    <mergeCell ref="M431:N431"/>
    <mergeCell ref="O431:P431"/>
    <mergeCell ref="Q431:R431"/>
    <mergeCell ref="C432:D432"/>
    <mergeCell ref="E432:H432"/>
    <mergeCell ref="I432:J432"/>
    <mergeCell ref="K432:L432"/>
    <mergeCell ref="M432:N432"/>
    <mergeCell ref="O432:P432"/>
    <mergeCell ref="C433:D433"/>
    <mergeCell ref="E433:H433"/>
    <mergeCell ref="I433:J433"/>
    <mergeCell ref="K433:L433"/>
    <mergeCell ref="M433:N433"/>
    <mergeCell ref="O433:P433"/>
    <mergeCell ref="Q432:R432"/>
    <mergeCell ref="Q433:R433"/>
    <mergeCell ref="C431:D431"/>
    <mergeCell ref="E431:H431"/>
    <mergeCell ref="I431:J431"/>
    <mergeCell ref="A441:B450"/>
    <mergeCell ref="K441:L441"/>
    <mergeCell ref="M441:N441"/>
    <mergeCell ref="O441:P441"/>
    <mergeCell ref="K444:L444"/>
    <mergeCell ref="M444:N444"/>
    <mergeCell ref="O444:P444"/>
    <mergeCell ref="K447:L447"/>
    <mergeCell ref="M447:N447"/>
    <mergeCell ref="O447:P447"/>
    <mergeCell ref="A431:B439"/>
    <mergeCell ref="F441:I441"/>
    <mergeCell ref="F442:I442"/>
    <mergeCell ref="K449:L449"/>
    <mergeCell ref="M449:N449"/>
    <mergeCell ref="O449:P449"/>
    <mergeCell ref="M438:N438"/>
    <mergeCell ref="O438:P438"/>
    <mergeCell ref="M434:N434"/>
    <mergeCell ref="O434:P434"/>
    <mergeCell ref="C435:D435"/>
    <mergeCell ref="E435:H435"/>
    <mergeCell ref="I435:J435"/>
    <mergeCell ref="K435:L435"/>
    <mergeCell ref="E434:H434"/>
    <mergeCell ref="I434:J434"/>
    <mergeCell ref="K434:L434"/>
    <mergeCell ref="C437:D437"/>
    <mergeCell ref="E437:H437"/>
    <mergeCell ref="I437:J437"/>
    <mergeCell ref="K437:L437"/>
    <mergeCell ref="M437:N437"/>
    <mergeCell ref="Q444:R444"/>
    <mergeCell ref="K445:L445"/>
    <mergeCell ref="M445:N445"/>
    <mergeCell ref="O445:P445"/>
    <mergeCell ref="Q445:R445"/>
    <mergeCell ref="K446:L446"/>
    <mergeCell ref="M446:N446"/>
    <mergeCell ref="O446:P446"/>
    <mergeCell ref="Q446:R446"/>
    <mergeCell ref="Q441:R441"/>
    <mergeCell ref="K442:L442"/>
    <mergeCell ref="M442:N442"/>
    <mergeCell ref="O442:P442"/>
    <mergeCell ref="Q442:R442"/>
    <mergeCell ref="K443:L443"/>
    <mergeCell ref="M443:N443"/>
    <mergeCell ref="O443:P443"/>
    <mergeCell ref="Q443:R443"/>
    <mergeCell ref="Q449:R449"/>
    <mergeCell ref="K450:L450"/>
    <mergeCell ref="M450:N450"/>
    <mergeCell ref="O450:P450"/>
    <mergeCell ref="Q450:R450"/>
    <mergeCell ref="Q447:R447"/>
    <mergeCell ref="K448:L448"/>
    <mergeCell ref="M448:N448"/>
    <mergeCell ref="O448:P448"/>
    <mergeCell ref="Q448:R448"/>
    <mergeCell ref="M485:N485"/>
    <mergeCell ref="O485:P485"/>
    <mergeCell ref="Q485:R485"/>
    <mergeCell ref="C456:D456"/>
    <mergeCell ref="E456:H456"/>
    <mergeCell ref="M456:N456"/>
    <mergeCell ref="A480:R481"/>
    <mergeCell ref="A482:R482"/>
    <mergeCell ref="A451:B456"/>
    <mergeCell ref="C451:D451"/>
    <mergeCell ref="E451:H451"/>
    <mergeCell ref="M451:N451"/>
    <mergeCell ref="C452:D452"/>
    <mergeCell ref="E452:H452"/>
    <mergeCell ref="M454:N454"/>
    <mergeCell ref="C455:D455"/>
    <mergeCell ref="E455:H455"/>
    <mergeCell ref="M455:N455"/>
    <mergeCell ref="M452:N452"/>
    <mergeCell ref="C453:D453"/>
    <mergeCell ref="E453:H453"/>
    <mergeCell ref="M453:N453"/>
    <mergeCell ref="O451:R451"/>
    <mergeCell ref="O452:R452"/>
    <mergeCell ref="O453:R453"/>
    <mergeCell ref="O454:R454"/>
    <mergeCell ref="O455:R455"/>
    <mergeCell ref="O456:R456"/>
    <mergeCell ref="C489:D489"/>
    <mergeCell ref="E489:F489"/>
    <mergeCell ref="G489:H489"/>
    <mergeCell ref="I489:J489"/>
    <mergeCell ref="K489:L489"/>
    <mergeCell ref="M489:N489"/>
    <mergeCell ref="O489:P489"/>
    <mergeCell ref="Q489:R489"/>
    <mergeCell ref="A486:B492"/>
    <mergeCell ref="C486:D486"/>
    <mergeCell ref="E486:F486"/>
    <mergeCell ref="G486:H486"/>
    <mergeCell ref="I486:J486"/>
    <mergeCell ref="K486:L486"/>
    <mergeCell ref="M486:N486"/>
    <mergeCell ref="O486:P486"/>
    <mergeCell ref="Q486:R486"/>
    <mergeCell ref="C487:D487"/>
    <mergeCell ref="E487:F487"/>
    <mergeCell ref="G487:H487"/>
    <mergeCell ref="I487:J487"/>
    <mergeCell ref="K487:L487"/>
    <mergeCell ref="M487:N487"/>
    <mergeCell ref="O487:P487"/>
    <mergeCell ref="Q487:R487"/>
    <mergeCell ref="C488:D488"/>
    <mergeCell ref="M488:N488"/>
    <mergeCell ref="O488:P488"/>
    <mergeCell ref="C492:D492"/>
    <mergeCell ref="E492:F492"/>
    <mergeCell ref="G492:H492"/>
    <mergeCell ref="I492:J492"/>
    <mergeCell ref="K492:L492"/>
    <mergeCell ref="M492:N492"/>
    <mergeCell ref="O492:P492"/>
    <mergeCell ref="Q492:R492"/>
    <mergeCell ref="C490:D490"/>
    <mergeCell ref="E490:F490"/>
    <mergeCell ref="G490:H490"/>
    <mergeCell ref="I490:J490"/>
    <mergeCell ref="K490:L490"/>
    <mergeCell ref="M490:N490"/>
    <mergeCell ref="O490:P490"/>
    <mergeCell ref="Q490:R490"/>
    <mergeCell ref="C491:D491"/>
    <mergeCell ref="E491:F491"/>
    <mergeCell ref="G491:H491"/>
    <mergeCell ref="I491:J491"/>
    <mergeCell ref="K491:L491"/>
    <mergeCell ref="M491:N491"/>
    <mergeCell ref="O491:P491"/>
    <mergeCell ref="Q491:R491"/>
    <mergeCell ref="M499:N499"/>
    <mergeCell ref="O499:P499"/>
    <mergeCell ref="Q499:R499"/>
    <mergeCell ref="I503:J503"/>
    <mergeCell ref="K503:L503"/>
    <mergeCell ref="M503:N503"/>
    <mergeCell ref="O503:P503"/>
    <mergeCell ref="Q503:R503"/>
    <mergeCell ref="C505:D505"/>
    <mergeCell ref="E505:H505"/>
    <mergeCell ref="I505:J505"/>
    <mergeCell ref="K505:L505"/>
    <mergeCell ref="M505:N505"/>
    <mergeCell ref="O505:P505"/>
    <mergeCell ref="Q505:R505"/>
    <mergeCell ref="A494:B499"/>
    <mergeCell ref="K494:L494"/>
    <mergeCell ref="M494:N494"/>
    <mergeCell ref="O494:P494"/>
    <mergeCell ref="Q494:R494"/>
    <mergeCell ref="M495:N495"/>
    <mergeCell ref="O495:P495"/>
    <mergeCell ref="Q495:R495"/>
    <mergeCell ref="M496:N496"/>
    <mergeCell ref="O496:P496"/>
    <mergeCell ref="Q496:R496"/>
    <mergeCell ref="M497:N497"/>
    <mergeCell ref="O497:P497"/>
    <mergeCell ref="Q497:R497"/>
    <mergeCell ref="M498:N498"/>
    <mergeCell ref="O498:P498"/>
    <mergeCell ref="Q498:R498"/>
    <mergeCell ref="A500:B506"/>
    <mergeCell ref="C500:D500"/>
    <mergeCell ref="E500:H500"/>
    <mergeCell ref="I500:J500"/>
    <mergeCell ref="K500:L500"/>
    <mergeCell ref="M500:N500"/>
    <mergeCell ref="O500:P500"/>
    <mergeCell ref="Q500:R500"/>
    <mergeCell ref="C501:D501"/>
    <mergeCell ref="E501:H501"/>
    <mergeCell ref="I501:J501"/>
    <mergeCell ref="K501:L501"/>
    <mergeCell ref="M501:N501"/>
    <mergeCell ref="O501:P501"/>
    <mergeCell ref="Q501:R501"/>
    <mergeCell ref="C502:D502"/>
    <mergeCell ref="E502:H502"/>
    <mergeCell ref="I502:J502"/>
    <mergeCell ref="K502:L502"/>
    <mergeCell ref="M502:N502"/>
    <mergeCell ref="C503:D503"/>
    <mergeCell ref="E503:H503"/>
    <mergeCell ref="E504:H504"/>
    <mergeCell ref="C504:D504"/>
    <mergeCell ref="I504:J504"/>
    <mergeCell ref="K504:L504"/>
    <mergeCell ref="M504:N504"/>
    <mergeCell ref="O504:P504"/>
    <mergeCell ref="Q504:R504"/>
    <mergeCell ref="C517:D517"/>
    <mergeCell ref="E517:H517"/>
    <mergeCell ref="I517:J517"/>
    <mergeCell ref="K517:L517"/>
    <mergeCell ref="M517:N517"/>
    <mergeCell ref="A507:B515"/>
    <mergeCell ref="C507:D507"/>
    <mergeCell ref="E507:H507"/>
    <mergeCell ref="I507:J507"/>
    <mergeCell ref="K507:L507"/>
    <mergeCell ref="M507:N507"/>
    <mergeCell ref="O507:P507"/>
    <mergeCell ref="Q507:R507"/>
    <mergeCell ref="C508:D508"/>
    <mergeCell ref="E508:H508"/>
    <mergeCell ref="I508:J508"/>
    <mergeCell ref="K508:L508"/>
    <mergeCell ref="M508:N508"/>
    <mergeCell ref="O508:P508"/>
    <mergeCell ref="C509:D509"/>
    <mergeCell ref="E509:H509"/>
    <mergeCell ref="I509:J509"/>
    <mergeCell ref="K509:L509"/>
    <mergeCell ref="M509:N509"/>
    <mergeCell ref="O509:P509"/>
    <mergeCell ref="C510:D510"/>
    <mergeCell ref="E510:H510"/>
    <mergeCell ref="I510:J510"/>
    <mergeCell ref="K510:L510"/>
    <mergeCell ref="C513:D513"/>
    <mergeCell ref="E513:H513"/>
    <mergeCell ref="I513:J513"/>
    <mergeCell ref="M514:N514"/>
    <mergeCell ref="O514:P514"/>
    <mergeCell ref="M510:N510"/>
    <mergeCell ref="O510:P510"/>
    <mergeCell ref="C511:D511"/>
    <mergeCell ref="E511:H511"/>
    <mergeCell ref="I511:J511"/>
    <mergeCell ref="K511:L511"/>
    <mergeCell ref="M511:N511"/>
    <mergeCell ref="O511:P511"/>
    <mergeCell ref="C512:D512"/>
    <mergeCell ref="E512:H512"/>
    <mergeCell ref="I512:J512"/>
    <mergeCell ref="K512:L512"/>
    <mergeCell ref="M512:N512"/>
    <mergeCell ref="O512:P512"/>
    <mergeCell ref="M516:N516"/>
    <mergeCell ref="O516:P516"/>
    <mergeCell ref="K513:L513"/>
    <mergeCell ref="M513:N513"/>
    <mergeCell ref="O513:P513"/>
    <mergeCell ref="C514:D514"/>
    <mergeCell ref="E514:H514"/>
    <mergeCell ref="O523:P523"/>
    <mergeCell ref="Q523:R523"/>
    <mergeCell ref="Q520:R520"/>
    <mergeCell ref="Q521:R521"/>
    <mergeCell ref="Q522:R522"/>
    <mergeCell ref="K520:L520"/>
    <mergeCell ref="M520:N520"/>
    <mergeCell ref="O520:P520"/>
    <mergeCell ref="Q518:R518"/>
    <mergeCell ref="C519:D519"/>
    <mergeCell ref="E519:H519"/>
    <mergeCell ref="Q519:R519"/>
    <mergeCell ref="C518:D518"/>
    <mergeCell ref="E518:H518"/>
    <mergeCell ref="I518:J518"/>
    <mergeCell ref="M518:N518"/>
    <mergeCell ref="O518:P518"/>
    <mergeCell ref="C521:D521"/>
    <mergeCell ref="E521:H521"/>
    <mergeCell ref="I521:J521"/>
    <mergeCell ref="K521:L521"/>
    <mergeCell ref="M521:N521"/>
    <mergeCell ref="O521:P521"/>
    <mergeCell ref="C522:D522"/>
    <mergeCell ref="E522:H522"/>
    <mergeCell ref="M522:N522"/>
    <mergeCell ref="O522:P522"/>
    <mergeCell ref="C520:D520"/>
    <mergeCell ref="E520:H520"/>
    <mergeCell ref="I520:J520"/>
    <mergeCell ref="A524:B529"/>
    <mergeCell ref="C524:D524"/>
    <mergeCell ref="E524:H524"/>
    <mergeCell ref="M524:N524"/>
    <mergeCell ref="C525:D525"/>
    <mergeCell ref="E525:H525"/>
    <mergeCell ref="M525:N525"/>
    <mergeCell ref="C526:D526"/>
    <mergeCell ref="E526:H526"/>
    <mergeCell ref="A517:B523"/>
    <mergeCell ref="O517:P517"/>
    <mergeCell ref="I516:J516"/>
    <mergeCell ref="I51:L51"/>
    <mergeCell ref="I52:L52"/>
    <mergeCell ref="I53:L53"/>
    <mergeCell ref="I54:L54"/>
    <mergeCell ref="C493:D493"/>
    <mergeCell ref="E493:F493"/>
    <mergeCell ref="G493:H493"/>
    <mergeCell ref="I493:J493"/>
    <mergeCell ref="K493:L493"/>
    <mergeCell ref="M493:N493"/>
    <mergeCell ref="O493:P493"/>
    <mergeCell ref="I519:J519"/>
    <mergeCell ref="K519:L519"/>
    <mergeCell ref="M519:N519"/>
    <mergeCell ref="O519:P519"/>
    <mergeCell ref="C515:D515"/>
    <mergeCell ref="E515:H515"/>
    <mergeCell ref="I515:J515"/>
    <mergeCell ref="K515:L515"/>
    <mergeCell ref="M515:N515"/>
    <mergeCell ref="Q493:R493"/>
    <mergeCell ref="Q272:R272"/>
    <mergeCell ref="Q273:R273"/>
    <mergeCell ref="Q274:R274"/>
    <mergeCell ref="Q275:R275"/>
    <mergeCell ref="Q516:R516"/>
    <mergeCell ref="C506:D506"/>
    <mergeCell ref="E506:H506"/>
    <mergeCell ref="I506:J506"/>
    <mergeCell ref="K506:L506"/>
    <mergeCell ref="M506:N506"/>
    <mergeCell ref="O506:P506"/>
    <mergeCell ref="Q506:R506"/>
    <mergeCell ref="O106:P106"/>
    <mergeCell ref="Q106:R106"/>
    <mergeCell ref="M526:N526"/>
    <mergeCell ref="C529:D529"/>
    <mergeCell ref="E529:H529"/>
    <mergeCell ref="M529:N529"/>
    <mergeCell ref="C527:D527"/>
    <mergeCell ref="E527:H527"/>
    <mergeCell ref="C528:D528"/>
    <mergeCell ref="E528:H528"/>
    <mergeCell ref="M528:N528"/>
    <mergeCell ref="C523:D523"/>
    <mergeCell ref="E523:H523"/>
    <mergeCell ref="I523:J523"/>
    <mergeCell ref="K523:L523"/>
    <mergeCell ref="M523:N523"/>
    <mergeCell ref="O129:R129"/>
    <mergeCell ref="O130:R130"/>
    <mergeCell ref="M527:N527"/>
    <mergeCell ref="O49:R49"/>
    <mergeCell ref="O50:R50"/>
    <mergeCell ref="O51:R51"/>
    <mergeCell ref="O52:R52"/>
    <mergeCell ref="O53:R53"/>
    <mergeCell ref="O54:R54"/>
    <mergeCell ref="I125:L125"/>
    <mergeCell ref="I126:L126"/>
    <mergeCell ref="I127:L127"/>
    <mergeCell ref="I130:L130"/>
    <mergeCell ref="M126:N126"/>
    <mergeCell ref="Q118:R118"/>
    <mergeCell ref="I115:J115"/>
    <mergeCell ref="K115:L115"/>
    <mergeCell ref="M115:N115"/>
    <mergeCell ref="O115:P115"/>
    <mergeCell ref="M111:N111"/>
    <mergeCell ref="O111:P111"/>
    <mergeCell ref="M127:N127"/>
    <mergeCell ref="I114:J114"/>
    <mergeCell ref="K114:L114"/>
    <mergeCell ref="M114:N114"/>
    <mergeCell ref="O114:P114"/>
    <mergeCell ref="I102:J102"/>
    <mergeCell ref="K102:L102"/>
    <mergeCell ref="M102:N102"/>
    <mergeCell ref="O102:P102"/>
    <mergeCell ref="Q102:R102"/>
    <mergeCell ref="O101:P101"/>
    <mergeCell ref="Q101:R101"/>
    <mergeCell ref="A80:R80"/>
    <mergeCell ref="A81:R81"/>
    <mergeCell ref="O343:P343"/>
    <mergeCell ref="Q440:R440"/>
    <mergeCell ref="Q517:R517"/>
    <mergeCell ref="O502:P502"/>
    <mergeCell ref="Q502:R502"/>
    <mergeCell ref="Q488:R488"/>
    <mergeCell ref="A483:R483"/>
    <mergeCell ref="A484:R484"/>
    <mergeCell ref="A485:B485"/>
    <mergeCell ref="C485:D485"/>
    <mergeCell ref="E485:F485"/>
    <mergeCell ref="G485:H485"/>
    <mergeCell ref="Q276:R276"/>
    <mergeCell ref="Q277:R277"/>
    <mergeCell ref="Q278:R278"/>
    <mergeCell ref="Q279:R279"/>
    <mergeCell ref="Q280:R280"/>
    <mergeCell ref="C359:D359"/>
    <mergeCell ref="E359:H359"/>
    <mergeCell ref="I359:J359"/>
    <mergeCell ref="K359:L359"/>
    <mergeCell ref="M359:N359"/>
    <mergeCell ref="O359:P359"/>
    <mergeCell ref="Q351:R351"/>
    <mergeCell ref="Q352:R352"/>
    <mergeCell ref="Q353:R353"/>
    <mergeCell ref="Q354:R354"/>
    <mergeCell ref="Q355:R355"/>
    <mergeCell ref="K438:L438"/>
    <mergeCell ref="O515:P515"/>
    <mergeCell ref="C516:D516"/>
    <mergeCell ref="E516:H516"/>
    <mergeCell ref="O529:R529"/>
    <mergeCell ref="O370:R370"/>
    <mergeCell ref="O371:R371"/>
    <mergeCell ref="O372:R372"/>
    <mergeCell ref="O373:R373"/>
    <mergeCell ref="O374:R374"/>
    <mergeCell ref="O375:R375"/>
    <mergeCell ref="O289:R289"/>
    <mergeCell ref="O290:R290"/>
    <mergeCell ref="O291:R291"/>
    <mergeCell ref="O292:R292"/>
    <mergeCell ref="O293:R293"/>
    <mergeCell ref="O294:R294"/>
    <mergeCell ref="Q508:R508"/>
    <mergeCell ref="Q509:R509"/>
    <mergeCell ref="Q510:R510"/>
    <mergeCell ref="Q511:R511"/>
    <mergeCell ref="Q512:R512"/>
    <mergeCell ref="Q513:R513"/>
    <mergeCell ref="Q514:R514"/>
    <mergeCell ref="Q515:R515"/>
    <mergeCell ref="O524:R524"/>
    <mergeCell ref="O525:R525"/>
    <mergeCell ref="O526:R526"/>
    <mergeCell ref="O527:R527"/>
    <mergeCell ref="O528:R528"/>
    <mergeCell ref="Q434:R434"/>
    <mergeCell ref="Q435:R435"/>
    <mergeCell ref="Q436:R436"/>
    <mergeCell ref="Q437:R437"/>
    <mergeCell ref="Q438:R438"/>
    <mergeCell ref="Q439:R439"/>
    <mergeCell ref="I524:L524"/>
    <mergeCell ref="I525:L525"/>
    <mergeCell ref="I526:L526"/>
    <mergeCell ref="I527:L527"/>
    <mergeCell ref="I528:L528"/>
    <mergeCell ref="I529:L529"/>
    <mergeCell ref="I451:L451"/>
    <mergeCell ref="I452:L452"/>
    <mergeCell ref="I453:L453"/>
    <mergeCell ref="I454:L454"/>
    <mergeCell ref="I455:L455"/>
    <mergeCell ref="I456:L456"/>
    <mergeCell ref="I370:L370"/>
    <mergeCell ref="I371:L371"/>
    <mergeCell ref="I372:L372"/>
    <mergeCell ref="I373:L373"/>
    <mergeCell ref="I374:L374"/>
    <mergeCell ref="I375:L375"/>
    <mergeCell ref="K516:L516"/>
    <mergeCell ref="K518:L518"/>
    <mergeCell ref="I485:J485"/>
    <mergeCell ref="K485:L485"/>
    <mergeCell ref="I438:J438"/>
    <mergeCell ref="I522:J522"/>
    <mergeCell ref="K522:L522"/>
    <mergeCell ref="K488:L488"/>
    <mergeCell ref="K439:L439"/>
    <mergeCell ref="I514:J514"/>
    <mergeCell ref="K514:L514"/>
    <mergeCell ref="A402:R402"/>
    <mergeCell ref="A403:R403"/>
    <mergeCell ref="A404:B404"/>
  </mergeCells>
  <pageMargins left="0.7" right="0.7" top="0.75" bottom="0.75" header="0.3" footer="0.3"/>
  <pageSetup scale="5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Phase-based</vt:lpstr>
      <vt:lpstr>PC-based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nikolateslaprogrammer@gmail.com;Sarwar Ebrahimi</dc:creator>
  <cp:lastModifiedBy>nikolateslaprogrammer@gmail.com</cp:lastModifiedBy>
  <cp:lastPrinted>2026-04-25T19:46:12Z</cp:lastPrinted>
  <dcterms:created xsi:type="dcterms:W3CDTF">2026-04-19T15:44:37Z</dcterms:created>
  <dcterms:modified xsi:type="dcterms:W3CDTF">2026-04-26T07:49:56Z</dcterms:modified>
</cp:coreProperties>
</file>